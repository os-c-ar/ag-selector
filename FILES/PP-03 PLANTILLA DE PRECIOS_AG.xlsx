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ELECTORES\AG_SELECTOR\FILES\"/>
    </mc:Choice>
  </mc:AlternateContent>
  <xr:revisionPtr revIDLastSave="0" documentId="13_ncr:1_{657C7112-B75B-49CA-92EB-AD8667A05A26}" xr6:coauthVersionLast="47" xr6:coauthVersionMax="47" xr10:uidLastSave="{00000000-0000-0000-0000-000000000000}"/>
  <bookViews>
    <workbookView xWindow="-20610" yWindow="12960" windowWidth="20730" windowHeight="11040" tabRatio="500" activeTab="1" xr2:uid="{00000000-000D-0000-FFFF-FFFF00000000}"/>
  </bookViews>
  <sheets>
    <sheet name="CODIFICADOR" sheetId="1" r:id="rId1"/>
    <sheet name="PLANTILLA DE P.  (2)" sheetId="2" r:id="rId2"/>
    <sheet name="Hoja1" sheetId="16" r:id="rId3"/>
    <sheet name="V2" sheetId="3" r:id="rId4"/>
    <sheet name="V3" sheetId="4" r:id="rId5"/>
    <sheet name="V4" sheetId="5" r:id="rId6"/>
    <sheet name="OTROS AG" sheetId="6" r:id="rId7"/>
    <sheet name="EJXA" sheetId="7" r:id="rId8"/>
    <sheet name="EJXC" sheetId="8" r:id="rId9"/>
    <sheet name="AB" sheetId="9" r:id="rId10"/>
    <sheet name="AD" sheetId="10" r:id="rId11"/>
    <sheet name="P" sheetId="11" r:id="rId12"/>
    <sheet name="INSUMOS" sheetId="12" r:id="rId13"/>
    <sheet name="P. PARTES" sheetId="13" r:id="rId14"/>
    <sheet name="HERR CODS" sheetId="14" r:id="rId15"/>
    <sheet name="RESUMEN (2)" sheetId="15" r:id="rId16"/>
  </sheets>
  <definedNames>
    <definedName name="ACOPLE_BRIDADO">'P. PARTES'!$A$266:$A$322</definedName>
    <definedName name="ACOPLE_DIRECTO">'P. PARTES'!$A$239:$A$263</definedName>
    <definedName name="EJE_MACIZO">'P. PARTES'!$A$325:$A$376</definedName>
    <definedName name="EJE_TUBULAR">'P. PARTES'!$A$379:$A$434</definedName>
    <definedName name="MOTOREDUCTOR">'P. PARTES'!$A$457:$A$563</definedName>
    <definedName name="NO_APLICA">'P. PARTES'!$E$607:$E$612</definedName>
    <definedName name="PERNOS">'P. PARTES'!$A$566:$A$568</definedName>
    <definedName name="PLACA">'P. PARTES'!$A$571</definedName>
    <definedName name="PLETINAS">'P. PARTES'!$A$437:$A$454</definedName>
    <definedName name="PROPELAS">'P. PARTES'!$A$3:$A$236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2" l="1"/>
  <c r="J25" i="2"/>
  <c r="B15" i="16"/>
  <c r="H10" i="16"/>
  <c r="C7" i="16"/>
  <c r="C6" i="16"/>
  <c r="E6" i="16" s="1"/>
  <c r="C5" i="16"/>
  <c r="E5" i="16" s="1"/>
  <c r="E4" i="16"/>
  <c r="E7" i="16"/>
  <c r="E3" i="16"/>
  <c r="E8" i="16" s="1"/>
  <c r="C4" i="16"/>
  <c r="C3" i="16"/>
  <c r="G8" i="2" l="1"/>
  <c r="G18" i="2"/>
  <c r="G17" i="2"/>
  <c r="G5" i="2"/>
  <c r="L32" i="2"/>
  <c r="D56" i="1"/>
  <c r="N32" i="2" l="1"/>
  <c r="K41" i="15"/>
  <c r="F41" i="15"/>
  <c r="K40" i="15"/>
  <c r="F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33" i="15"/>
  <c r="F33" i="15"/>
  <c r="K27" i="15"/>
  <c r="F27" i="15"/>
  <c r="K26" i="15"/>
  <c r="F26" i="15"/>
  <c r="K25" i="15"/>
  <c r="F25" i="15"/>
  <c r="K24" i="15"/>
  <c r="F24" i="15"/>
  <c r="K23" i="15"/>
  <c r="F23" i="15"/>
  <c r="K22" i="15"/>
  <c r="F22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K10" i="15"/>
  <c r="F10" i="15"/>
  <c r="K9" i="15"/>
  <c r="F9" i="15"/>
  <c r="K8" i="15"/>
  <c r="F8" i="15"/>
  <c r="K7" i="15"/>
  <c r="F7" i="15"/>
  <c r="K6" i="15"/>
  <c r="F6" i="15"/>
  <c r="A574" i="13"/>
  <c r="B568" i="13"/>
  <c r="B563" i="13"/>
  <c r="A563" i="13"/>
  <c r="B562" i="13"/>
  <c r="A562" i="13"/>
  <c r="B561" i="13"/>
  <c r="A561" i="13"/>
  <c r="B560" i="13"/>
  <c r="A560" i="13"/>
  <c r="B559" i="13"/>
  <c r="A559" i="13"/>
  <c r="B558" i="13"/>
  <c r="A558" i="13"/>
  <c r="B557" i="13"/>
  <c r="A557" i="13"/>
  <c r="B556" i="13"/>
  <c r="A556" i="13"/>
  <c r="B555" i="13"/>
  <c r="A555" i="13"/>
  <c r="B554" i="13"/>
  <c r="A554" i="13"/>
  <c r="B553" i="13"/>
  <c r="A553" i="13"/>
  <c r="B552" i="13"/>
  <c r="A552" i="13"/>
  <c r="B551" i="13"/>
  <c r="A551" i="13"/>
  <c r="B550" i="13"/>
  <c r="A550" i="13"/>
  <c r="B549" i="13"/>
  <c r="A549" i="13"/>
  <c r="B548" i="13"/>
  <c r="A548" i="13"/>
  <c r="B547" i="13"/>
  <c r="A547" i="13"/>
  <c r="B546" i="13"/>
  <c r="A546" i="13"/>
  <c r="B545" i="13"/>
  <c r="A545" i="13"/>
  <c r="B544" i="13"/>
  <c r="A544" i="13"/>
  <c r="B543" i="13"/>
  <c r="A543" i="13"/>
  <c r="B542" i="13"/>
  <c r="A542" i="13"/>
  <c r="B541" i="13"/>
  <c r="A541" i="13"/>
  <c r="B540" i="13"/>
  <c r="A540" i="13"/>
  <c r="B539" i="13"/>
  <c r="A539" i="13"/>
  <c r="B538" i="13"/>
  <c r="A538" i="13"/>
  <c r="B537" i="13"/>
  <c r="A537" i="13"/>
  <c r="B536" i="13"/>
  <c r="A536" i="13"/>
  <c r="B535" i="13"/>
  <c r="A535" i="13"/>
  <c r="B534" i="13"/>
  <c r="A534" i="13"/>
  <c r="B533" i="13"/>
  <c r="A533" i="13"/>
  <c r="B532" i="13"/>
  <c r="A532" i="13"/>
  <c r="B531" i="13"/>
  <c r="A531" i="13"/>
  <c r="B530" i="13"/>
  <c r="A530" i="13"/>
  <c r="B529" i="13"/>
  <c r="A529" i="13"/>
  <c r="B528" i="13"/>
  <c r="A528" i="13"/>
  <c r="B527" i="13"/>
  <c r="A527" i="13"/>
  <c r="B526" i="13"/>
  <c r="A526" i="13"/>
  <c r="B525" i="13"/>
  <c r="A525" i="13"/>
  <c r="A524" i="13"/>
  <c r="B523" i="13"/>
  <c r="A523" i="13"/>
  <c r="B522" i="13"/>
  <c r="A522" i="13"/>
  <c r="B521" i="13"/>
  <c r="A521" i="13"/>
  <c r="B520" i="13"/>
  <c r="A520" i="13"/>
  <c r="A519" i="13"/>
  <c r="B518" i="13"/>
  <c r="A518" i="13"/>
  <c r="B517" i="13"/>
  <c r="A517" i="13"/>
  <c r="B516" i="13"/>
  <c r="A516" i="13"/>
  <c r="B515" i="13"/>
  <c r="A515" i="13"/>
  <c r="B514" i="13"/>
  <c r="A514" i="13"/>
  <c r="B513" i="13"/>
  <c r="A513" i="13"/>
  <c r="B512" i="13"/>
  <c r="A512" i="13"/>
  <c r="B511" i="13"/>
  <c r="A511" i="13"/>
  <c r="B510" i="13"/>
  <c r="A510" i="13"/>
  <c r="B509" i="13"/>
  <c r="A509" i="13"/>
  <c r="B508" i="13"/>
  <c r="A508" i="13"/>
  <c r="B507" i="13"/>
  <c r="A507" i="13"/>
  <c r="B506" i="13"/>
  <c r="A506" i="13"/>
  <c r="B505" i="13"/>
  <c r="A505" i="13"/>
  <c r="B504" i="13"/>
  <c r="A504" i="13"/>
  <c r="B503" i="13"/>
  <c r="A503" i="13"/>
  <c r="B502" i="13"/>
  <c r="A502" i="13"/>
  <c r="B501" i="13"/>
  <c r="A501" i="13"/>
  <c r="B500" i="13"/>
  <c r="A500" i="13"/>
  <c r="B499" i="13"/>
  <c r="A499" i="13"/>
  <c r="B498" i="13"/>
  <c r="A498" i="13"/>
  <c r="B497" i="13"/>
  <c r="A497" i="13"/>
  <c r="B496" i="13"/>
  <c r="A496" i="13"/>
  <c r="B495" i="13"/>
  <c r="A495" i="13"/>
  <c r="B494" i="13"/>
  <c r="A494" i="13"/>
  <c r="B493" i="13"/>
  <c r="A493" i="13"/>
  <c r="B492" i="13"/>
  <c r="A492" i="13"/>
  <c r="B491" i="13"/>
  <c r="A491" i="13"/>
  <c r="B490" i="13"/>
  <c r="A490" i="13"/>
  <c r="B489" i="13"/>
  <c r="A489" i="13"/>
  <c r="B488" i="13"/>
  <c r="A488" i="13"/>
  <c r="B487" i="13"/>
  <c r="A487" i="13"/>
  <c r="B486" i="13"/>
  <c r="A486" i="13"/>
  <c r="B485" i="13"/>
  <c r="A485" i="13"/>
  <c r="B484" i="13"/>
  <c r="A484" i="13"/>
  <c r="B483" i="13"/>
  <c r="A483" i="13"/>
  <c r="B482" i="13"/>
  <c r="A482" i="13"/>
  <c r="B481" i="13"/>
  <c r="A481" i="13"/>
  <c r="B480" i="13"/>
  <c r="A480" i="13"/>
  <c r="B479" i="13"/>
  <c r="A479" i="13"/>
  <c r="A478" i="13"/>
  <c r="B477" i="13"/>
  <c r="A477" i="13"/>
  <c r="B476" i="13"/>
  <c r="A476" i="13"/>
  <c r="B475" i="13"/>
  <c r="A475" i="13"/>
  <c r="B474" i="13"/>
  <c r="A474" i="13"/>
  <c r="B473" i="13"/>
  <c r="A473" i="13"/>
  <c r="B472" i="13"/>
  <c r="A472" i="13"/>
  <c r="B471" i="13"/>
  <c r="A471" i="13"/>
  <c r="B470" i="13"/>
  <c r="A470" i="13"/>
  <c r="B469" i="13"/>
  <c r="A469" i="13"/>
  <c r="B468" i="13"/>
  <c r="A468" i="13"/>
  <c r="B467" i="13"/>
  <c r="A467" i="13"/>
  <c r="B466" i="13"/>
  <c r="A466" i="13"/>
  <c r="A465" i="13"/>
  <c r="B464" i="13"/>
  <c r="A464" i="13"/>
  <c r="A463" i="13"/>
  <c r="B462" i="13"/>
  <c r="A462" i="13"/>
  <c r="B461" i="13"/>
  <c r="A461" i="13"/>
  <c r="B460" i="13"/>
  <c r="A460" i="13"/>
  <c r="B459" i="13"/>
  <c r="A459" i="13"/>
  <c r="B458" i="13"/>
  <c r="A458" i="13"/>
  <c r="A457" i="13"/>
  <c r="B454" i="13"/>
  <c r="B453" i="13"/>
  <c r="B451" i="13"/>
  <c r="B450" i="13"/>
  <c r="B449" i="13"/>
  <c r="B448" i="13"/>
  <c r="B447" i="13"/>
  <c r="B446" i="13"/>
  <c r="A446" i="13"/>
  <c r="B445" i="13"/>
  <c r="B444" i="13"/>
  <c r="B443" i="13"/>
  <c r="B442" i="13"/>
  <c r="B441" i="13"/>
  <c r="B440" i="13"/>
  <c r="B439" i="13"/>
  <c r="B438" i="13"/>
  <c r="B437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5" i="13"/>
  <c r="A194" i="13"/>
  <c r="A193" i="13"/>
  <c r="A192" i="13"/>
  <c r="A191" i="13"/>
  <c r="A190" i="13"/>
  <c r="A189" i="13"/>
  <c r="A188" i="13"/>
  <c r="A187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B545" i="12"/>
  <c r="E518" i="12"/>
  <c r="B492" i="12"/>
  <c r="B524" i="13" s="1"/>
  <c r="B487" i="12"/>
  <c r="B519" i="13" s="1"/>
  <c r="B445" i="12"/>
  <c r="B478" i="13" s="1"/>
  <c r="B432" i="12"/>
  <c r="B465" i="13" s="1"/>
  <c r="B430" i="12"/>
  <c r="B463" i="13" s="1"/>
  <c r="B424" i="12"/>
  <c r="B457" i="13" s="1"/>
  <c r="B406" i="12"/>
  <c r="B328" i="12"/>
  <c r="B327" i="12"/>
  <c r="B324" i="11" s="1"/>
  <c r="D324" i="11" s="1"/>
  <c r="B326" i="12"/>
  <c r="B1575" i="11" s="1"/>
  <c r="D1575" i="11" s="1"/>
  <c r="B324" i="12"/>
  <c r="B296" i="12"/>
  <c r="E249" i="12"/>
  <c r="E1326" i="11" s="1"/>
  <c r="B248" i="12"/>
  <c r="B1721" i="11" s="1"/>
  <c r="D1721" i="11" s="1"/>
  <c r="B247" i="12"/>
  <c r="B240" i="12"/>
  <c r="B238" i="12"/>
  <c r="B1573" i="11" s="1"/>
  <c r="D1573" i="11" s="1"/>
  <c r="B235" i="12"/>
  <c r="B342" i="11" s="1"/>
  <c r="D342" i="11" s="1"/>
  <c r="B234" i="12"/>
  <c r="B231" i="12"/>
  <c r="B1845" i="11" s="1"/>
  <c r="D1845" i="11" s="1"/>
  <c r="B230" i="12"/>
  <c r="B1855" i="11" s="1"/>
  <c r="D1855" i="11" s="1"/>
  <c r="B229" i="12"/>
  <c r="B1216" i="11" s="1"/>
  <c r="D1216" i="11" s="1"/>
  <c r="B228" i="12"/>
  <c r="E218" i="12"/>
  <c r="E217" i="12"/>
  <c r="E1777" i="11" s="1"/>
  <c r="B204" i="12"/>
  <c r="B202" i="12"/>
  <c r="B201" i="12"/>
  <c r="E199" i="12"/>
  <c r="E1572" i="11" s="1"/>
  <c r="B199" i="12"/>
  <c r="B1572" i="11" s="1"/>
  <c r="D1572" i="11" s="1"/>
  <c r="E198" i="12"/>
  <c r="B198" i="12"/>
  <c r="E197" i="12"/>
  <c r="E1028" i="11" s="1"/>
  <c r="B193" i="12"/>
  <c r="B330" i="11" s="1"/>
  <c r="D330" i="11" s="1"/>
  <c r="B192" i="12"/>
  <c r="B2037" i="11" s="1"/>
  <c r="D2037" i="11" s="1"/>
  <c r="B187" i="12"/>
  <c r="B186" i="12"/>
  <c r="B1844" i="11" s="1"/>
  <c r="D1844" i="11" s="1"/>
  <c r="E185" i="12"/>
  <c r="E1824" i="11" s="1"/>
  <c r="B185" i="12"/>
  <c r="E181" i="12"/>
  <c r="E186" i="12" s="1"/>
  <c r="B178" i="12"/>
  <c r="B177" i="12"/>
  <c r="B1657" i="11" s="1"/>
  <c r="D1657" i="11" s="1"/>
  <c r="B176" i="12"/>
  <c r="E175" i="12"/>
  <c r="E174" i="12"/>
  <c r="E1816" i="11" s="1"/>
  <c r="B170" i="12"/>
  <c r="B484" i="11" s="1"/>
  <c r="D484" i="11" s="1"/>
  <c r="E169" i="12"/>
  <c r="E2112" i="11" s="1"/>
  <c r="B169" i="12"/>
  <c r="B168" i="12"/>
  <c r="B633" i="11" s="1"/>
  <c r="D633" i="11" s="1"/>
  <c r="B167" i="12"/>
  <c r="B759" i="11" s="1"/>
  <c r="D759" i="11" s="1"/>
  <c r="B166" i="12"/>
  <c r="B165" i="12"/>
  <c r="B164" i="12"/>
  <c r="B1766" i="11" s="1"/>
  <c r="D1766" i="11" s="1"/>
  <c r="B163" i="12"/>
  <c r="B1342" i="11" s="1"/>
  <c r="D1342" i="11" s="1"/>
  <c r="B162" i="12"/>
  <c r="B161" i="12"/>
  <c r="B160" i="12"/>
  <c r="B1452" i="11" s="1"/>
  <c r="D1452" i="11" s="1"/>
  <c r="B143" i="12"/>
  <c r="B1720" i="11" s="1"/>
  <c r="D1720" i="11" s="1"/>
  <c r="B142" i="12"/>
  <c r="B141" i="12"/>
  <c r="B140" i="12"/>
  <c r="B1351" i="11" s="1"/>
  <c r="D1351" i="11" s="1"/>
  <c r="B139" i="12"/>
  <c r="B768" i="11" s="1"/>
  <c r="D768" i="11" s="1"/>
  <c r="B138" i="12"/>
  <c r="B137" i="12"/>
  <c r="E136" i="12"/>
  <c r="E125" i="12"/>
  <c r="E124" i="12"/>
  <c r="E123" i="12"/>
  <c r="E122" i="12"/>
  <c r="E120" i="12"/>
  <c r="E118" i="12"/>
  <c r="E117" i="12"/>
  <c r="E116" i="12"/>
  <c r="E113" i="12"/>
  <c r="E112" i="12"/>
  <c r="E111" i="12"/>
  <c r="E110" i="12"/>
  <c r="E109" i="12"/>
  <c r="E107" i="12"/>
  <c r="E106" i="12"/>
  <c r="B104" i="12"/>
  <c r="B99" i="12"/>
  <c r="B98" i="12"/>
  <c r="E93" i="12"/>
  <c r="B91" i="12"/>
  <c r="B88" i="8" s="1"/>
  <c r="D88" i="8" s="1"/>
  <c r="B90" i="12"/>
  <c r="B171" i="9" s="1"/>
  <c r="D171" i="9" s="1"/>
  <c r="B78" i="12"/>
  <c r="B66" i="12"/>
  <c r="E65" i="12"/>
  <c r="E63" i="12"/>
  <c r="E62" i="12"/>
  <c r="E66" i="12" s="1"/>
  <c r="E61" i="12"/>
  <c r="E60" i="12"/>
  <c r="E236" i="8" s="1"/>
  <c r="B60" i="12"/>
  <c r="B390" i="8" s="1"/>
  <c r="D390" i="8" s="1"/>
  <c r="E59" i="12"/>
  <c r="B53" i="12"/>
  <c r="B52" i="12"/>
  <c r="B51" i="12"/>
  <c r="B49" i="12"/>
  <c r="B48" i="12"/>
  <c r="B47" i="12"/>
  <c r="B58" i="12" s="1"/>
  <c r="B313" i="8" s="1"/>
  <c r="D313" i="8" s="1"/>
  <c r="E46" i="12"/>
  <c r="E264" i="8" s="1"/>
  <c r="B46" i="12"/>
  <c r="E42" i="12"/>
  <c r="B42" i="12"/>
  <c r="E41" i="12"/>
  <c r="B41" i="12"/>
  <c r="E40" i="12"/>
  <c r="B40" i="12"/>
  <c r="E39" i="12"/>
  <c r="B39" i="12"/>
  <c r="E38" i="12"/>
  <c r="E36" i="12"/>
  <c r="E34" i="12"/>
  <c r="E33" i="12"/>
  <c r="E32" i="12"/>
  <c r="E30" i="12"/>
  <c r="E29" i="12"/>
  <c r="E27" i="12"/>
  <c r="E26" i="12"/>
  <c r="E24" i="12"/>
  <c r="E23" i="12"/>
  <c r="B23" i="12"/>
  <c r="B22" i="12"/>
  <c r="E21" i="12"/>
  <c r="E256" i="9" s="1"/>
  <c r="E20" i="12"/>
  <c r="E17" i="12"/>
  <c r="E11" i="12"/>
  <c r="E10" i="12"/>
  <c r="E9" i="12"/>
  <c r="E8" i="12"/>
  <c r="E7" i="12"/>
  <c r="E1633" i="11" s="1"/>
  <c r="E6" i="12"/>
  <c r="E18" i="12" s="1"/>
  <c r="E598" i="11" s="1"/>
  <c r="E5" i="12"/>
  <c r="E1308" i="11" s="1"/>
  <c r="E4" i="12"/>
  <c r="E15" i="12" s="1"/>
  <c r="E1462" i="11" s="1"/>
  <c r="E3" i="12"/>
  <c r="E14" i="12" s="1"/>
  <c r="E2" i="12"/>
  <c r="E13" i="12" s="1"/>
  <c r="B2167" i="11"/>
  <c r="D2167" i="11" s="1"/>
  <c r="B2166" i="11"/>
  <c r="D2166" i="11" s="1"/>
  <c r="B2165" i="11"/>
  <c r="D2165" i="11" s="1"/>
  <c r="B2164" i="11"/>
  <c r="D2164" i="11" s="1"/>
  <c r="E2163" i="11"/>
  <c r="B2163" i="11"/>
  <c r="D2163" i="11" s="1"/>
  <c r="B2158" i="11"/>
  <c r="D2158" i="11" s="1"/>
  <c r="B2157" i="11"/>
  <c r="D2157" i="11" s="1"/>
  <c r="E2156" i="11"/>
  <c r="B2156" i="11"/>
  <c r="D2156" i="11" s="1"/>
  <c r="E2155" i="11"/>
  <c r="B2155" i="11"/>
  <c r="D2155" i="11" s="1"/>
  <c r="B2150" i="11"/>
  <c r="D2150" i="11" s="1"/>
  <c r="B2149" i="11"/>
  <c r="D2149" i="11" s="1"/>
  <c r="E2148" i="11"/>
  <c r="B2148" i="11"/>
  <c r="D2148" i="11" s="1"/>
  <c r="B2147" i="11"/>
  <c r="D2147" i="11" s="1"/>
  <c r="B2142" i="11"/>
  <c r="D2142" i="11" s="1"/>
  <c r="B2141" i="11"/>
  <c r="D2141" i="11" s="1"/>
  <c r="E2140" i="11"/>
  <c r="B2140" i="11"/>
  <c r="D2140" i="11" s="1"/>
  <c r="E2139" i="11"/>
  <c r="B2139" i="11"/>
  <c r="D2139" i="11" s="1"/>
  <c r="B2134" i="11"/>
  <c r="D2134" i="11" s="1"/>
  <c r="B2133" i="11"/>
  <c r="D2133" i="11" s="1"/>
  <c r="B2132" i="11"/>
  <c r="D2132" i="11" s="1"/>
  <c r="E2131" i="11"/>
  <c r="B2131" i="11"/>
  <c r="D2131" i="11" s="1"/>
  <c r="B2126" i="11"/>
  <c r="D2126" i="11" s="1"/>
  <c r="B2125" i="11"/>
  <c r="D2125" i="11" s="1"/>
  <c r="B2124" i="11"/>
  <c r="D2124" i="11" s="1"/>
  <c r="B2123" i="11"/>
  <c r="D2123" i="11" s="1"/>
  <c r="E2122" i="11"/>
  <c r="B2122" i="11"/>
  <c r="D2122" i="11" s="1"/>
  <c r="E2121" i="11"/>
  <c r="B2116" i="11"/>
  <c r="D2116" i="11" s="1"/>
  <c r="B2115" i="11"/>
  <c r="D2115" i="11" s="1"/>
  <c r="B2114" i="11"/>
  <c r="D2114" i="11" s="1"/>
  <c r="E2113" i="11"/>
  <c r="B2113" i="11"/>
  <c r="D2113" i="11" s="1"/>
  <c r="B2112" i="11"/>
  <c r="D2112" i="11" s="1"/>
  <c r="B2105" i="11"/>
  <c r="D2105" i="11" s="1"/>
  <c r="B2104" i="11"/>
  <c r="D2104" i="11" s="1"/>
  <c r="B2103" i="11"/>
  <c r="D2103" i="11" s="1"/>
  <c r="E2102" i="11"/>
  <c r="B2102" i="11"/>
  <c r="D2102" i="11" s="1"/>
  <c r="E2101" i="11"/>
  <c r="B2096" i="11"/>
  <c r="D2096" i="11" s="1"/>
  <c r="B2095" i="11"/>
  <c r="D2095" i="11" s="1"/>
  <c r="B2094" i="11"/>
  <c r="D2094" i="11" s="1"/>
  <c r="E2093" i="11"/>
  <c r="B2093" i="11"/>
  <c r="D2093" i="11" s="1"/>
  <c r="E2092" i="11"/>
  <c r="B2092" i="11"/>
  <c r="D2092" i="11" s="1"/>
  <c r="B2087" i="11"/>
  <c r="D2087" i="11" s="1"/>
  <c r="B2086" i="11"/>
  <c r="D2086" i="11" s="1"/>
  <c r="B2085" i="11"/>
  <c r="D2085" i="11" s="1"/>
  <c r="E2084" i="11"/>
  <c r="B2084" i="11"/>
  <c r="D2084" i="11" s="1"/>
  <c r="E2083" i="11"/>
  <c r="B2083" i="11"/>
  <c r="D2083" i="11" s="1"/>
  <c r="B2078" i="11"/>
  <c r="D2078" i="11" s="1"/>
  <c r="B2077" i="11"/>
  <c r="D2077" i="11" s="1"/>
  <c r="B2076" i="11"/>
  <c r="D2076" i="11" s="1"/>
  <c r="E2075" i="11"/>
  <c r="E2074" i="11"/>
  <c r="B2074" i="11"/>
  <c r="D2074" i="11" s="1"/>
  <c r="B2069" i="11"/>
  <c r="D2069" i="11" s="1"/>
  <c r="B2068" i="11"/>
  <c r="D2068" i="11" s="1"/>
  <c r="B2067" i="11"/>
  <c r="D2067" i="11" s="1"/>
  <c r="B2066" i="11"/>
  <c r="D2066" i="11" s="1"/>
  <c r="E2065" i="11"/>
  <c r="B2065" i="11"/>
  <c r="D2065" i="11" s="1"/>
  <c r="B2060" i="11"/>
  <c r="D2060" i="11" s="1"/>
  <c r="B2059" i="11"/>
  <c r="D2059" i="11" s="1"/>
  <c r="B2058" i="11"/>
  <c r="D2058" i="11" s="1"/>
  <c r="E2057" i="11"/>
  <c r="B2057" i="11"/>
  <c r="D2057" i="11" s="1"/>
  <c r="E2056" i="11"/>
  <c r="B2051" i="11"/>
  <c r="D2051" i="11" s="1"/>
  <c r="D2050" i="11"/>
  <c r="B2050" i="11"/>
  <c r="B2049" i="11"/>
  <c r="D2049" i="11" s="1"/>
  <c r="B2048" i="11"/>
  <c r="D2048" i="11" s="1"/>
  <c r="E2047" i="11"/>
  <c r="B2047" i="11"/>
  <c r="D2047" i="11" s="1"/>
  <c r="E2046" i="11"/>
  <c r="B2046" i="11"/>
  <c r="D2046" i="11" s="1"/>
  <c r="B2041" i="11"/>
  <c r="D2041" i="11" s="1"/>
  <c r="B2040" i="11"/>
  <c r="D2040" i="11" s="1"/>
  <c r="B2039" i="11"/>
  <c r="D2039" i="11" s="1"/>
  <c r="E2038" i="11"/>
  <c r="B2038" i="11"/>
  <c r="D2038" i="11" s="1"/>
  <c r="E2037" i="11"/>
  <c r="B2032" i="11"/>
  <c r="D2032" i="11" s="1"/>
  <c r="B2031" i="11"/>
  <c r="D2031" i="11" s="1"/>
  <c r="B2030" i="11"/>
  <c r="D2030" i="11" s="1"/>
  <c r="B2029" i="11"/>
  <c r="D2029" i="11" s="1"/>
  <c r="E2028" i="11"/>
  <c r="B2028" i="11"/>
  <c r="D2028" i="11" s="1"/>
  <c r="B2023" i="11"/>
  <c r="D2023" i="11" s="1"/>
  <c r="B2022" i="11"/>
  <c r="D2022" i="11" s="1"/>
  <c r="E2021" i="11"/>
  <c r="B2021" i="11"/>
  <c r="D2021" i="11" s="1"/>
  <c r="E2020" i="11"/>
  <c r="B2020" i="11"/>
  <c r="D2020" i="11" s="1"/>
  <c r="B2015" i="11"/>
  <c r="D2015" i="11" s="1"/>
  <c r="B2014" i="11"/>
  <c r="D2014" i="11" s="1"/>
  <c r="E2013" i="11"/>
  <c r="B2013" i="11"/>
  <c r="D2013" i="11" s="1"/>
  <c r="E2012" i="11"/>
  <c r="E2016" i="11" s="1"/>
  <c r="B2012" i="11"/>
  <c r="D2012" i="11" s="1"/>
  <c r="B2007" i="11"/>
  <c r="D2007" i="11" s="1"/>
  <c r="B2006" i="11"/>
  <c r="D2006" i="11" s="1"/>
  <c r="E2005" i="11"/>
  <c r="B2005" i="11"/>
  <c r="D2005" i="11" s="1"/>
  <c r="E2004" i="11"/>
  <c r="B1999" i="11"/>
  <c r="D1999" i="11" s="1"/>
  <c r="B1998" i="11"/>
  <c r="D1998" i="11" s="1"/>
  <c r="E1997" i="11"/>
  <c r="B1997" i="11"/>
  <c r="D1997" i="11" s="1"/>
  <c r="E1996" i="11"/>
  <c r="B1996" i="11"/>
  <c r="D1996" i="11" s="1"/>
  <c r="B1991" i="11"/>
  <c r="D1991" i="11" s="1"/>
  <c r="B1990" i="11"/>
  <c r="D1990" i="11" s="1"/>
  <c r="B1989" i="11"/>
  <c r="D1989" i="11" s="1"/>
  <c r="B1988" i="11"/>
  <c r="D1988" i="11" s="1"/>
  <c r="E1987" i="11"/>
  <c r="B1987" i="11"/>
  <c r="D1987" i="11" s="1"/>
  <c r="E1986" i="11"/>
  <c r="B1981" i="11"/>
  <c r="D1981" i="11" s="1"/>
  <c r="B1980" i="11"/>
  <c r="D1980" i="11" s="1"/>
  <c r="B1979" i="11"/>
  <c r="D1979" i="11" s="1"/>
  <c r="B1978" i="11"/>
  <c r="D1978" i="11" s="1"/>
  <c r="E1977" i="11"/>
  <c r="B1977" i="11"/>
  <c r="D1977" i="11" s="1"/>
  <c r="E1976" i="11"/>
  <c r="B1976" i="11"/>
  <c r="D1976" i="11" s="1"/>
  <c r="B1971" i="11"/>
  <c r="D1971" i="11" s="1"/>
  <c r="B1970" i="11"/>
  <c r="D1970" i="11" s="1"/>
  <c r="B1969" i="11"/>
  <c r="D1969" i="11" s="1"/>
  <c r="B1968" i="11"/>
  <c r="D1968" i="11" s="1"/>
  <c r="E1967" i="11"/>
  <c r="B1967" i="11"/>
  <c r="D1967" i="11" s="1"/>
  <c r="E1966" i="11"/>
  <c r="B1966" i="11"/>
  <c r="D1966" i="11" s="1"/>
  <c r="B1961" i="11"/>
  <c r="D1961" i="11" s="1"/>
  <c r="B1960" i="11"/>
  <c r="D1960" i="11" s="1"/>
  <c r="B1959" i="11"/>
  <c r="D1959" i="11" s="1"/>
  <c r="B1958" i="11"/>
  <c r="D1958" i="11" s="1"/>
  <c r="E1957" i="11"/>
  <c r="B1957" i="11"/>
  <c r="D1957" i="11" s="1"/>
  <c r="E1956" i="11"/>
  <c r="B1951" i="11"/>
  <c r="D1951" i="11" s="1"/>
  <c r="B1950" i="11"/>
  <c r="D1950" i="11" s="1"/>
  <c r="B1949" i="11"/>
  <c r="D1949" i="11" s="1"/>
  <c r="E1948" i="11"/>
  <c r="B1948" i="11"/>
  <c r="D1948" i="11" s="1"/>
  <c r="E1947" i="11"/>
  <c r="E1952" i="11" s="1"/>
  <c r="B1947" i="11"/>
  <c r="D1947" i="11" s="1"/>
  <c r="B1942" i="11"/>
  <c r="D1942" i="11" s="1"/>
  <c r="B1941" i="11"/>
  <c r="D1941" i="11" s="1"/>
  <c r="B1940" i="11"/>
  <c r="D1940" i="11" s="1"/>
  <c r="E1939" i="11"/>
  <c r="B1939" i="11"/>
  <c r="D1939" i="11" s="1"/>
  <c r="E1938" i="11"/>
  <c r="D1938" i="11"/>
  <c r="B1938" i="11"/>
  <c r="B1933" i="11"/>
  <c r="D1933" i="11" s="1"/>
  <c r="B1932" i="11"/>
  <c r="D1932" i="11" s="1"/>
  <c r="B1931" i="11"/>
  <c r="D1931" i="11" s="1"/>
  <c r="B1930" i="11"/>
  <c r="D1930" i="11" s="1"/>
  <c r="E1929" i="11"/>
  <c r="B1929" i="11"/>
  <c r="D1929" i="11" s="1"/>
  <c r="E1928" i="11"/>
  <c r="B1928" i="11"/>
  <c r="D1928" i="11" s="1"/>
  <c r="B1923" i="11"/>
  <c r="D1923" i="11" s="1"/>
  <c r="B1922" i="11"/>
  <c r="D1922" i="11" s="1"/>
  <c r="B1921" i="11"/>
  <c r="D1921" i="11" s="1"/>
  <c r="B1920" i="11"/>
  <c r="D1920" i="11" s="1"/>
  <c r="E1919" i="11"/>
  <c r="B1919" i="11"/>
  <c r="D1919" i="11" s="1"/>
  <c r="E1918" i="11"/>
  <c r="B1918" i="11"/>
  <c r="D1918" i="11" s="1"/>
  <c r="B1913" i="11"/>
  <c r="D1913" i="11" s="1"/>
  <c r="B1912" i="11"/>
  <c r="D1912" i="11" s="1"/>
  <c r="B1911" i="11"/>
  <c r="D1911" i="11" s="1"/>
  <c r="B1910" i="11"/>
  <c r="D1910" i="11" s="1"/>
  <c r="E1909" i="11"/>
  <c r="B1909" i="11"/>
  <c r="D1909" i="11" s="1"/>
  <c r="B1904" i="11"/>
  <c r="D1904" i="11" s="1"/>
  <c r="B1903" i="11"/>
  <c r="D1903" i="11" s="1"/>
  <c r="E1902" i="11"/>
  <c r="B1902" i="11"/>
  <c r="D1902" i="11" s="1"/>
  <c r="E1901" i="11"/>
  <c r="B1901" i="11"/>
  <c r="D1901" i="11" s="1"/>
  <c r="B1896" i="11"/>
  <c r="D1896" i="11" s="1"/>
  <c r="B1895" i="11"/>
  <c r="D1895" i="11" s="1"/>
  <c r="B1894" i="11"/>
  <c r="D1894" i="11" s="1"/>
  <c r="E1893" i="11"/>
  <c r="B1893" i="11"/>
  <c r="D1893" i="11" s="1"/>
  <c r="E1892" i="11"/>
  <c r="B1892" i="11"/>
  <c r="D1892" i="11" s="1"/>
  <c r="B1887" i="11"/>
  <c r="D1887" i="11" s="1"/>
  <c r="B1886" i="11"/>
  <c r="D1886" i="11" s="1"/>
  <c r="E1885" i="11"/>
  <c r="B1885" i="11"/>
  <c r="D1885" i="11" s="1"/>
  <c r="E1884" i="11"/>
  <c r="E1888" i="11" s="1"/>
  <c r="B1884" i="11"/>
  <c r="D1884" i="11" s="1"/>
  <c r="E1875" i="11"/>
  <c r="B1869" i="11"/>
  <c r="D1869" i="11" s="1"/>
  <c r="B1868" i="11"/>
  <c r="D1868" i="11" s="1"/>
  <c r="B1867" i="11"/>
  <c r="D1867" i="11" s="1"/>
  <c r="B1866" i="11"/>
  <c r="D1866" i="11" s="1"/>
  <c r="E1865" i="11"/>
  <c r="E1864" i="11"/>
  <c r="B1864" i="11"/>
  <c r="D1864" i="11" s="1"/>
  <c r="B1859" i="11"/>
  <c r="D1859" i="11" s="1"/>
  <c r="B1858" i="11"/>
  <c r="D1858" i="11" s="1"/>
  <c r="D1857" i="11"/>
  <c r="B1857" i="11"/>
  <c r="B1856" i="11"/>
  <c r="D1856" i="11" s="1"/>
  <c r="E1855" i="11"/>
  <c r="E1854" i="11"/>
  <c r="B1849" i="11"/>
  <c r="D1849" i="11" s="1"/>
  <c r="B1848" i="11"/>
  <c r="D1848" i="11" s="1"/>
  <c r="B1847" i="11"/>
  <c r="D1847" i="11" s="1"/>
  <c r="B1846" i="11"/>
  <c r="D1846" i="11" s="1"/>
  <c r="E1845" i="11"/>
  <c r="E1844" i="11"/>
  <c r="B1839" i="11"/>
  <c r="B1879" i="11" s="1"/>
  <c r="D1879" i="11" s="1"/>
  <c r="B1838" i="11"/>
  <c r="D1838" i="11" s="1"/>
  <c r="D1837" i="11"/>
  <c r="B1837" i="11"/>
  <c r="B1877" i="11" s="1"/>
  <c r="D1877" i="11" s="1"/>
  <c r="B1836" i="11"/>
  <c r="D1836" i="11" s="1"/>
  <c r="E1835" i="11"/>
  <c r="E1834" i="11"/>
  <c r="B1834" i="11"/>
  <c r="D1834" i="11" s="1"/>
  <c r="B1829" i="11"/>
  <c r="D1829" i="11" s="1"/>
  <c r="B1828" i="11"/>
  <c r="D1828" i="11" s="1"/>
  <c r="B1827" i="11"/>
  <c r="D1827" i="11" s="1"/>
  <c r="B1826" i="11"/>
  <c r="D1826" i="11" s="1"/>
  <c r="E1825" i="11"/>
  <c r="B1824" i="11"/>
  <c r="D1824" i="11" s="1"/>
  <c r="B1819" i="11"/>
  <c r="D1819" i="11" s="1"/>
  <c r="B1818" i="11"/>
  <c r="D1818" i="11" s="1"/>
  <c r="E1817" i="11"/>
  <c r="B1817" i="11"/>
  <c r="D1817" i="11" s="1"/>
  <c r="D1816" i="11"/>
  <c r="B1816" i="11"/>
  <c r="B1811" i="11"/>
  <c r="D1811" i="11" s="1"/>
  <c r="B1810" i="11"/>
  <c r="D1810" i="11" s="1"/>
  <c r="E1809" i="11"/>
  <c r="B1809" i="11"/>
  <c r="D1809" i="11" s="1"/>
  <c r="E1808" i="11"/>
  <c r="B1808" i="11"/>
  <c r="D1808" i="11" s="1"/>
  <c r="B1803" i="11"/>
  <c r="D1803" i="11" s="1"/>
  <c r="B1802" i="11"/>
  <c r="D1802" i="11" s="1"/>
  <c r="E1801" i="11"/>
  <c r="B1801" i="11"/>
  <c r="D1801" i="11" s="1"/>
  <c r="E1800" i="11"/>
  <c r="B1800" i="11"/>
  <c r="D1800" i="11" s="1"/>
  <c r="B1795" i="11"/>
  <c r="D1795" i="11" s="1"/>
  <c r="B1794" i="11"/>
  <c r="D1794" i="11" s="1"/>
  <c r="E1793" i="11"/>
  <c r="B1793" i="11"/>
  <c r="D1793" i="11" s="1"/>
  <c r="E1792" i="11"/>
  <c r="B1792" i="11"/>
  <c r="D1792" i="11" s="1"/>
  <c r="B1787" i="11"/>
  <c r="D1787" i="11" s="1"/>
  <c r="B1786" i="11"/>
  <c r="D1786" i="11" s="1"/>
  <c r="E1785" i="11"/>
  <c r="B1785" i="11"/>
  <c r="D1785" i="11" s="1"/>
  <c r="E1784" i="11"/>
  <c r="B1784" i="11"/>
  <c r="D1784" i="11" s="1"/>
  <c r="B1779" i="11"/>
  <c r="D1779" i="11" s="1"/>
  <c r="B1778" i="11"/>
  <c r="D1778" i="11" s="1"/>
  <c r="B1777" i="11"/>
  <c r="D1777" i="11" s="1"/>
  <c r="B1776" i="11"/>
  <c r="D1776" i="11" s="1"/>
  <c r="E1775" i="11"/>
  <c r="B1775" i="11"/>
  <c r="D1775" i="11" s="1"/>
  <c r="B1770" i="11"/>
  <c r="D1770" i="11" s="1"/>
  <c r="B1769" i="11"/>
  <c r="D1769" i="11" s="1"/>
  <c r="B1768" i="11"/>
  <c r="D1768" i="11" s="1"/>
  <c r="B1767" i="11"/>
  <c r="D1767" i="11" s="1"/>
  <c r="E1766" i="11"/>
  <c r="B1761" i="11"/>
  <c r="D1761" i="11" s="1"/>
  <c r="B1760" i="11"/>
  <c r="D1760" i="11" s="1"/>
  <c r="B1759" i="11"/>
  <c r="D1759" i="11" s="1"/>
  <c r="B1758" i="11"/>
  <c r="D1758" i="11" s="1"/>
  <c r="E1757" i="11"/>
  <c r="B1757" i="11"/>
  <c r="D1757" i="11" s="1"/>
  <c r="E1756" i="11"/>
  <c r="E1762" i="11" s="1"/>
  <c r="B1756" i="11"/>
  <c r="D1756" i="11" s="1"/>
  <c r="B1751" i="11"/>
  <c r="D1751" i="11" s="1"/>
  <c r="B1750" i="11"/>
  <c r="D1750" i="11" s="1"/>
  <c r="E1749" i="11"/>
  <c r="B1749" i="11"/>
  <c r="D1749" i="11" s="1"/>
  <c r="E1748" i="11"/>
  <c r="B1748" i="11"/>
  <c r="D1748" i="11" s="1"/>
  <c r="B1743" i="11"/>
  <c r="D1743" i="11" s="1"/>
  <c r="B1742" i="11"/>
  <c r="D1742" i="11" s="1"/>
  <c r="B1741" i="11"/>
  <c r="D1741" i="11" s="1"/>
  <c r="B1740" i="11"/>
  <c r="D1740" i="11" s="1"/>
  <c r="E1739" i="11"/>
  <c r="B1739" i="11"/>
  <c r="D1739" i="11" s="1"/>
  <c r="E1738" i="11"/>
  <c r="B1738" i="11"/>
  <c r="D1738" i="11" s="1"/>
  <c r="B1733" i="11"/>
  <c r="D1733" i="11" s="1"/>
  <c r="B1732" i="11"/>
  <c r="D1732" i="11" s="1"/>
  <c r="B1731" i="11"/>
  <c r="D1731" i="11" s="1"/>
  <c r="B1730" i="11"/>
  <c r="D1730" i="11" s="1"/>
  <c r="E1729" i="11"/>
  <c r="D1729" i="11"/>
  <c r="B1729" i="11"/>
  <c r="E1728" i="11"/>
  <c r="B1728" i="11"/>
  <c r="D1728" i="11" s="1"/>
  <c r="B1723" i="11"/>
  <c r="D1723" i="11" s="1"/>
  <c r="B1722" i="11"/>
  <c r="D1722" i="11" s="1"/>
  <c r="E1721" i="11"/>
  <c r="E1720" i="11"/>
  <c r="B1715" i="11"/>
  <c r="D1715" i="11" s="1"/>
  <c r="B1714" i="11"/>
  <c r="D1714" i="11" s="1"/>
  <c r="E1713" i="11"/>
  <c r="B1713" i="11"/>
  <c r="D1713" i="11" s="1"/>
  <c r="E1712" i="11"/>
  <c r="B1712" i="11"/>
  <c r="D1712" i="11" s="1"/>
  <c r="B1707" i="11"/>
  <c r="D1707" i="11" s="1"/>
  <c r="B1706" i="11"/>
  <c r="D1706" i="11" s="1"/>
  <c r="B1705" i="11"/>
  <c r="D1705" i="11" s="1"/>
  <c r="E1704" i="11"/>
  <c r="B1704" i="11"/>
  <c r="D1704" i="11" s="1"/>
  <c r="E1703" i="11"/>
  <c r="B1703" i="11"/>
  <c r="D1703" i="11" s="1"/>
  <c r="B1698" i="11"/>
  <c r="D1698" i="11" s="1"/>
  <c r="B1697" i="11"/>
  <c r="D1697" i="11" s="1"/>
  <c r="B1696" i="11"/>
  <c r="D1696" i="11" s="1"/>
  <c r="B1695" i="11"/>
  <c r="D1695" i="11" s="1"/>
  <c r="B1690" i="11"/>
  <c r="D1690" i="11" s="1"/>
  <c r="B1689" i="11"/>
  <c r="D1689" i="11" s="1"/>
  <c r="B1688" i="11"/>
  <c r="D1688" i="11" s="1"/>
  <c r="B1687" i="11"/>
  <c r="D1687" i="11" s="1"/>
  <c r="E1686" i="11"/>
  <c r="E1685" i="11"/>
  <c r="B1685" i="11"/>
  <c r="D1685" i="11" s="1"/>
  <c r="B1680" i="11"/>
  <c r="D1680" i="11" s="1"/>
  <c r="B1679" i="11"/>
  <c r="D1679" i="11" s="1"/>
  <c r="B1678" i="11"/>
  <c r="D1678" i="11" s="1"/>
  <c r="B1677" i="11"/>
  <c r="D1677" i="11" s="1"/>
  <c r="E1676" i="11"/>
  <c r="B1676" i="11"/>
  <c r="D1676" i="11" s="1"/>
  <c r="E1675" i="11"/>
  <c r="E1681" i="11" s="1"/>
  <c r="B1675" i="11"/>
  <c r="D1675" i="11" s="1"/>
  <c r="B1670" i="11"/>
  <c r="D1670" i="11" s="1"/>
  <c r="B1669" i="11"/>
  <c r="D1669" i="11" s="1"/>
  <c r="E1668" i="11"/>
  <c r="B1668" i="11"/>
  <c r="D1668" i="11" s="1"/>
  <c r="E1667" i="11"/>
  <c r="B1667" i="11"/>
  <c r="D1667" i="11" s="1"/>
  <c r="D1671" i="11" s="1"/>
  <c r="B53" i="13" s="1"/>
  <c r="B1662" i="11"/>
  <c r="D1662" i="11" s="1"/>
  <c r="B1661" i="11"/>
  <c r="D1661" i="11" s="1"/>
  <c r="B1660" i="11"/>
  <c r="D1660" i="11" s="1"/>
  <c r="B1659" i="11"/>
  <c r="D1659" i="11" s="1"/>
  <c r="E1658" i="11"/>
  <c r="B1658" i="11"/>
  <c r="D1658" i="11" s="1"/>
  <c r="E1657" i="11"/>
  <c r="B1652" i="11"/>
  <c r="D1652" i="11" s="1"/>
  <c r="B1651" i="11"/>
  <c r="D1651" i="11" s="1"/>
  <c r="E1650" i="11"/>
  <c r="B1650" i="11"/>
  <c r="D1650" i="11" s="1"/>
  <c r="E1649" i="11"/>
  <c r="B1649" i="11"/>
  <c r="D1649" i="11" s="1"/>
  <c r="B1644" i="11"/>
  <c r="D1644" i="11" s="1"/>
  <c r="B1643" i="11"/>
  <c r="D1643" i="11" s="1"/>
  <c r="E1642" i="11"/>
  <c r="B1642" i="11"/>
  <c r="D1642" i="11" s="1"/>
  <c r="E1641" i="11"/>
  <c r="B1641" i="11"/>
  <c r="D1641" i="11" s="1"/>
  <c r="B1636" i="11"/>
  <c r="D1636" i="11" s="1"/>
  <c r="B1635" i="11"/>
  <c r="D1635" i="11" s="1"/>
  <c r="B1634" i="11"/>
  <c r="D1634" i="11" s="1"/>
  <c r="B1633" i="11"/>
  <c r="D1633" i="11" s="1"/>
  <c r="E1632" i="11"/>
  <c r="B1632" i="11"/>
  <c r="D1632" i="11" s="1"/>
  <c r="B1627" i="11"/>
  <c r="D1627" i="11" s="1"/>
  <c r="B1626" i="11"/>
  <c r="D1626" i="11" s="1"/>
  <c r="E1625" i="11"/>
  <c r="B1625" i="11"/>
  <c r="D1625" i="11" s="1"/>
  <c r="E1624" i="11"/>
  <c r="B1624" i="11"/>
  <c r="D1624" i="11" s="1"/>
  <c r="B1619" i="11"/>
  <c r="D1619" i="11" s="1"/>
  <c r="B1618" i="11"/>
  <c r="D1618" i="11" s="1"/>
  <c r="B1617" i="11"/>
  <c r="D1617" i="11" s="1"/>
  <c r="B1616" i="11"/>
  <c r="D1616" i="11" s="1"/>
  <c r="E1615" i="11"/>
  <c r="D1615" i="11"/>
  <c r="B1615" i="11"/>
  <c r="B1610" i="11"/>
  <c r="D1610" i="11" s="1"/>
  <c r="B1609" i="11"/>
  <c r="D1609" i="11" s="1"/>
  <c r="B1608" i="11"/>
  <c r="D1608" i="11" s="1"/>
  <c r="E1607" i="11"/>
  <c r="B1607" i="11"/>
  <c r="D1607" i="11" s="1"/>
  <c r="E1606" i="11"/>
  <c r="B1601" i="11"/>
  <c r="D1601" i="11" s="1"/>
  <c r="B1600" i="11"/>
  <c r="D1600" i="11" s="1"/>
  <c r="B1599" i="11"/>
  <c r="D1599" i="11" s="1"/>
  <c r="B1598" i="11"/>
  <c r="D1598" i="11" s="1"/>
  <c r="E1597" i="11"/>
  <c r="E1596" i="11"/>
  <c r="B1596" i="11"/>
  <c r="D1596" i="11" s="1"/>
  <c r="B1591" i="11"/>
  <c r="D1591" i="11" s="1"/>
  <c r="B1590" i="11"/>
  <c r="D1590" i="11" s="1"/>
  <c r="E1589" i="11"/>
  <c r="B1589" i="11"/>
  <c r="D1589" i="11" s="1"/>
  <c r="E1588" i="11"/>
  <c r="E1592" i="11" s="1"/>
  <c r="B1588" i="11"/>
  <c r="D1588" i="11" s="1"/>
  <c r="B1583" i="11"/>
  <c r="D1583" i="11" s="1"/>
  <c r="D1582" i="11"/>
  <c r="B1582" i="11"/>
  <c r="E1581" i="11"/>
  <c r="B1581" i="11"/>
  <c r="D1581" i="11" s="1"/>
  <c r="E1580" i="11"/>
  <c r="E1584" i="11" s="1"/>
  <c r="B1580" i="11"/>
  <c r="D1580" i="11" s="1"/>
  <c r="B1574" i="11"/>
  <c r="D1574" i="11" s="1"/>
  <c r="E1573" i="11"/>
  <c r="B1567" i="11"/>
  <c r="D1567" i="11" s="1"/>
  <c r="B1566" i="11"/>
  <c r="D1566" i="11" s="1"/>
  <c r="B1565" i="11"/>
  <c r="D1565" i="11" s="1"/>
  <c r="B1564" i="11"/>
  <c r="D1564" i="11" s="1"/>
  <c r="E1563" i="11"/>
  <c r="B1563" i="11"/>
  <c r="D1563" i="11" s="1"/>
  <c r="E1562" i="11"/>
  <c r="B1562" i="11"/>
  <c r="D1562" i="11" s="1"/>
  <c r="B1557" i="11"/>
  <c r="D1557" i="11" s="1"/>
  <c r="B1556" i="11"/>
  <c r="D1556" i="11" s="1"/>
  <c r="B1555" i="11"/>
  <c r="D1555" i="11" s="1"/>
  <c r="B1554" i="11"/>
  <c r="D1554" i="11" s="1"/>
  <c r="E1553" i="11"/>
  <c r="D1553" i="11"/>
  <c r="B1553" i="11"/>
  <c r="B1548" i="11"/>
  <c r="D1548" i="11" s="1"/>
  <c r="B1547" i="11"/>
  <c r="D1547" i="11" s="1"/>
  <c r="B1546" i="11"/>
  <c r="D1546" i="11" s="1"/>
  <c r="B1545" i="11"/>
  <c r="D1545" i="11" s="1"/>
  <c r="E1544" i="11"/>
  <c r="B1544" i="11"/>
  <c r="D1544" i="11" s="1"/>
  <c r="B1539" i="11"/>
  <c r="D1539" i="11" s="1"/>
  <c r="D1538" i="11"/>
  <c r="E1537" i="11"/>
  <c r="B1537" i="11"/>
  <c r="D1537" i="11" s="1"/>
  <c r="E1536" i="11"/>
  <c r="B1536" i="11"/>
  <c r="D1536" i="11" s="1"/>
  <c r="B1531" i="11"/>
  <c r="D1531" i="11" s="1"/>
  <c r="B1530" i="11"/>
  <c r="D1530" i="11" s="1"/>
  <c r="B1529" i="11"/>
  <c r="D1529" i="11" s="1"/>
  <c r="B1528" i="11"/>
  <c r="D1528" i="11" s="1"/>
  <c r="E1527" i="11"/>
  <c r="B1527" i="11"/>
  <c r="D1527" i="11" s="1"/>
  <c r="E1526" i="11"/>
  <c r="B1526" i="11"/>
  <c r="D1526" i="11" s="1"/>
  <c r="B1521" i="11"/>
  <c r="D1521" i="11" s="1"/>
  <c r="B1520" i="11"/>
  <c r="D1520" i="11" s="1"/>
  <c r="E1519" i="11"/>
  <c r="B1519" i="11"/>
  <c r="D1519" i="11" s="1"/>
  <c r="E1518" i="11"/>
  <c r="B1518" i="11"/>
  <c r="D1518" i="11" s="1"/>
  <c r="B1513" i="11"/>
  <c r="D1513" i="11" s="1"/>
  <c r="B1512" i="11"/>
  <c r="D1512" i="11" s="1"/>
  <c r="B1511" i="11"/>
  <c r="D1511" i="11" s="1"/>
  <c r="B1510" i="11"/>
  <c r="D1510" i="11" s="1"/>
  <c r="E1509" i="11"/>
  <c r="B1509" i="11"/>
  <c r="D1509" i="11" s="1"/>
  <c r="E1508" i="11"/>
  <c r="B1508" i="11"/>
  <c r="D1508" i="11" s="1"/>
  <c r="B1503" i="11"/>
  <c r="D1503" i="11" s="1"/>
  <c r="B1502" i="11"/>
  <c r="D1502" i="11" s="1"/>
  <c r="B1501" i="11"/>
  <c r="D1501" i="11" s="1"/>
  <c r="B1500" i="11"/>
  <c r="D1500" i="11" s="1"/>
  <c r="E1499" i="11"/>
  <c r="B1499" i="11"/>
  <c r="D1499" i="11" s="1"/>
  <c r="B1494" i="11"/>
  <c r="D1494" i="11" s="1"/>
  <c r="B1493" i="11"/>
  <c r="D1493" i="11" s="1"/>
  <c r="B1492" i="11"/>
  <c r="D1492" i="11" s="1"/>
  <c r="B1491" i="11"/>
  <c r="D1491" i="11" s="1"/>
  <c r="E1490" i="11"/>
  <c r="B1490" i="11"/>
  <c r="D1490" i="11" s="1"/>
  <c r="E1489" i="11"/>
  <c r="B1484" i="11"/>
  <c r="D1484" i="11" s="1"/>
  <c r="B1483" i="11"/>
  <c r="D1483" i="11" s="1"/>
  <c r="E1482" i="11"/>
  <c r="B1482" i="11"/>
  <c r="D1482" i="11" s="1"/>
  <c r="B1481" i="11"/>
  <c r="E1480" i="11"/>
  <c r="B1480" i="11"/>
  <c r="D1480" i="11" s="1"/>
  <c r="B1475" i="11"/>
  <c r="D1475" i="11" s="1"/>
  <c r="B1474" i="11"/>
  <c r="D1474" i="11" s="1"/>
  <c r="B1473" i="11"/>
  <c r="D1473" i="11" s="1"/>
  <c r="B1472" i="11"/>
  <c r="D1472" i="11" s="1"/>
  <c r="E1471" i="11"/>
  <c r="E1470" i="11"/>
  <c r="D1465" i="11"/>
  <c r="B1465" i="11"/>
  <c r="B1464" i="11"/>
  <c r="D1464" i="11" s="1"/>
  <c r="D1463" i="11"/>
  <c r="B1463" i="11"/>
  <c r="B1462" i="11"/>
  <c r="D1462" i="11" s="1"/>
  <c r="E1461" i="11"/>
  <c r="B1461" i="11"/>
  <c r="D1461" i="11" s="1"/>
  <c r="B1456" i="11"/>
  <c r="D1456" i="11" s="1"/>
  <c r="B1455" i="11"/>
  <c r="D1455" i="11" s="1"/>
  <c r="B1454" i="11"/>
  <c r="D1454" i="11" s="1"/>
  <c r="E1453" i="11"/>
  <c r="B1453" i="11"/>
  <c r="D1453" i="11" s="1"/>
  <c r="E1452" i="11"/>
  <c r="B1447" i="11"/>
  <c r="D1447" i="11" s="1"/>
  <c r="B1446" i="11"/>
  <c r="D1446" i="11" s="1"/>
  <c r="B1445" i="11"/>
  <c r="D1445" i="11" s="1"/>
  <c r="B1444" i="11"/>
  <c r="D1444" i="11" s="1"/>
  <c r="E1443" i="11"/>
  <c r="B1438" i="11"/>
  <c r="D1438" i="11" s="1"/>
  <c r="B1437" i="11"/>
  <c r="D1437" i="11" s="1"/>
  <c r="B1436" i="11"/>
  <c r="D1436" i="11" s="1"/>
  <c r="B1435" i="11"/>
  <c r="D1435" i="11" s="1"/>
  <c r="E1434" i="11"/>
  <c r="B1434" i="11"/>
  <c r="D1434" i="11" s="1"/>
  <c r="E1433" i="11"/>
  <c r="B1433" i="11"/>
  <c r="D1433" i="11" s="1"/>
  <c r="B1428" i="11"/>
  <c r="D1428" i="11" s="1"/>
  <c r="B1427" i="11"/>
  <c r="D1427" i="11" s="1"/>
  <c r="B1426" i="11"/>
  <c r="D1426" i="11" s="1"/>
  <c r="B1425" i="11"/>
  <c r="D1425" i="11" s="1"/>
  <c r="E1424" i="11"/>
  <c r="B1424" i="11"/>
  <c r="D1424" i="11" s="1"/>
  <c r="E1423" i="11"/>
  <c r="B1423" i="11"/>
  <c r="D1423" i="11" s="1"/>
  <c r="B1418" i="11"/>
  <c r="D1418" i="11" s="1"/>
  <c r="B1417" i="11"/>
  <c r="D1417" i="11" s="1"/>
  <c r="B1416" i="11"/>
  <c r="D1416" i="11" s="1"/>
  <c r="E1415" i="11"/>
  <c r="B1415" i="11"/>
  <c r="D1415" i="11" s="1"/>
  <c r="E1414" i="11"/>
  <c r="B1414" i="11"/>
  <c r="D1414" i="11" s="1"/>
  <c r="B1409" i="11"/>
  <c r="D1409" i="11" s="1"/>
  <c r="B1408" i="11"/>
  <c r="D1408" i="11" s="1"/>
  <c r="B1407" i="11"/>
  <c r="D1407" i="11" s="1"/>
  <c r="E1406" i="11"/>
  <c r="B1406" i="11"/>
  <c r="D1406" i="11" s="1"/>
  <c r="B1405" i="11"/>
  <c r="D1405" i="11" s="1"/>
  <c r="B1400" i="11"/>
  <c r="D1400" i="11" s="1"/>
  <c r="B1399" i="11"/>
  <c r="D1399" i="11" s="1"/>
  <c r="B1398" i="11"/>
  <c r="D1398" i="11" s="1"/>
  <c r="B1397" i="11"/>
  <c r="D1397" i="11" s="1"/>
  <c r="E1396" i="11"/>
  <c r="B1396" i="11"/>
  <c r="D1396" i="11" s="1"/>
  <c r="E1395" i="11"/>
  <c r="B1395" i="11"/>
  <c r="D1395" i="11" s="1"/>
  <c r="B1390" i="11"/>
  <c r="D1390" i="11" s="1"/>
  <c r="B1389" i="11"/>
  <c r="D1389" i="11" s="1"/>
  <c r="E1388" i="11"/>
  <c r="B1388" i="11"/>
  <c r="D1388" i="11" s="1"/>
  <c r="E1387" i="11"/>
  <c r="B1387" i="11"/>
  <c r="D1387" i="11" s="1"/>
  <c r="B1382" i="11"/>
  <c r="D1382" i="11" s="1"/>
  <c r="B1381" i="11"/>
  <c r="D1381" i="11" s="1"/>
  <c r="B1380" i="11"/>
  <c r="D1380" i="11" s="1"/>
  <c r="B1379" i="11"/>
  <c r="D1379" i="11" s="1"/>
  <c r="E1378" i="11"/>
  <c r="B1378" i="11"/>
  <c r="D1378" i="11" s="1"/>
  <c r="E1377" i="11"/>
  <c r="B1372" i="11"/>
  <c r="D1372" i="11" s="1"/>
  <c r="B1371" i="11"/>
  <c r="D1371" i="11" s="1"/>
  <c r="B1370" i="11"/>
  <c r="D1370" i="11" s="1"/>
  <c r="B1369" i="11"/>
  <c r="D1369" i="11" s="1"/>
  <c r="E1368" i="11"/>
  <c r="B1368" i="11"/>
  <c r="D1368" i="11" s="1"/>
  <c r="B1363" i="11"/>
  <c r="D1363" i="11" s="1"/>
  <c r="B1362" i="11"/>
  <c r="D1362" i="11" s="1"/>
  <c r="E1361" i="11"/>
  <c r="B1361" i="11"/>
  <c r="D1361" i="11" s="1"/>
  <c r="E1360" i="11"/>
  <c r="B1360" i="11"/>
  <c r="D1360" i="11" s="1"/>
  <c r="B1355" i="11"/>
  <c r="D1355" i="11" s="1"/>
  <c r="B1354" i="11"/>
  <c r="D1354" i="11" s="1"/>
  <c r="B1353" i="11"/>
  <c r="D1353" i="11" s="1"/>
  <c r="B1352" i="11"/>
  <c r="D1352" i="11" s="1"/>
  <c r="E1351" i="11"/>
  <c r="B1346" i="11"/>
  <c r="D1346" i="11" s="1"/>
  <c r="B1345" i="11"/>
  <c r="D1345" i="11" s="1"/>
  <c r="B1344" i="11"/>
  <c r="D1344" i="11" s="1"/>
  <c r="B1343" i="11"/>
  <c r="D1343" i="11" s="1"/>
  <c r="E1342" i="11"/>
  <c r="B1337" i="11"/>
  <c r="D1337" i="11" s="1"/>
  <c r="B1336" i="11"/>
  <c r="D1336" i="11" s="1"/>
  <c r="B1335" i="11"/>
  <c r="D1335" i="11" s="1"/>
  <c r="E1334" i="11"/>
  <c r="B1334" i="11"/>
  <c r="D1334" i="11" s="1"/>
  <c r="E1333" i="11"/>
  <c r="B1328" i="11"/>
  <c r="D1328" i="11" s="1"/>
  <c r="B1327" i="11"/>
  <c r="D1327" i="11" s="1"/>
  <c r="B1326" i="11"/>
  <c r="D1326" i="11" s="1"/>
  <c r="E1325" i="11"/>
  <c r="B1325" i="11"/>
  <c r="D1325" i="11" s="1"/>
  <c r="B1320" i="11"/>
  <c r="D1320" i="11" s="1"/>
  <c r="B1319" i="11"/>
  <c r="D1319" i="11" s="1"/>
  <c r="B1318" i="11"/>
  <c r="D1318" i="11" s="1"/>
  <c r="B1317" i="11"/>
  <c r="D1317" i="11" s="1"/>
  <c r="E1316" i="11"/>
  <c r="D1316" i="11"/>
  <c r="B1316" i="11"/>
  <c r="B1311" i="11"/>
  <c r="D1311" i="11" s="1"/>
  <c r="B1310" i="11"/>
  <c r="D1310" i="11" s="1"/>
  <c r="B1309" i="11"/>
  <c r="D1309" i="11" s="1"/>
  <c r="B1308" i="11"/>
  <c r="D1308" i="11" s="1"/>
  <c r="E1307" i="11"/>
  <c r="D1307" i="11"/>
  <c r="B1307" i="11"/>
  <c r="B1302" i="11"/>
  <c r="D1302" i="11" s="1"/>
  <c r="B1301" i="11"/>
  <c r="D1301" i="11" s="1"/>
  <c r="B1300" i="11"/>
  <c r="D1300" i="11" s="1"/>
  <c r="B1299" i="11"/>
  <c r="D1299" i="11" s="1"/>
  <c r="E1298" i="11"/>
  <c r="B1298" i="11"/>
  <c r="D1298" i="11" s="1"/>
  <c r="E1297" i="11"/>
  <c r="B1297" i="11"/>
  <c r="D1297" i="11" s="1"/>
  <c r="B1292" i="11"/>
  <c r="D1292" i="11" s="1"/>
  <c r="B1291" i="11"/>
  <c r="D1291" i="11" s="1"/>
  <c r="B1290" i="11"/>
  <c r="D1290" i="11" s="1"/>
  <c r="B1289" i="11"/>
  <c r="D1289" i="11" s="1"/>
  <c r="E1288" i="11"/>
  <c r="E1293" i="11" s="1"/>
  <c r="B1288" i="11"/>
  <c r="D1288" i="11" s="1"/>
  <c r="E1287" i="11"/>
  <c r="B1287" i="11"/>
  <c r="D1287" i="11" s="1"/>
  <c r="B1282" i="11"/>
  <c r="D1282" i="11" s="1"/>
  <c r="B1281" i="11"/>
  <c r="D1281" i="11" s="1"/>
  <c r="B1280" i="11"/>
  <c r="D1280" i="11" s="1"/>
  <c r="B1279" i="11"/>
  <c r="D1279" i="11" s="1"/>
  <c r="E1278" i="11"/>
  <c r="B1278" i="11"/>
  <c r="D1278" i="11" s="1"/>
  <c r="E1277" i="11"/>
  <c r="B1277" i="11"/>
  <c r="D1277" i="11" s="1"/>
  <c r="B1272" i="11"/>
  <c r="D1272" i="11" s="1"/>
  <c r="B1271" i="11"/>
  <c r="D1271" i="11" s="1"/>
  <c r="B1270" i="11"/>
  <c r="D1270" i="11" s="1"/>
  <c r="B1269" i="11"/>
  <c r="D1269" i="11" s="1"/>
  <c r="E1268" i="11"/>
  <c r="E1273" i="11" s="1"/>
  <c r="B1268" i="11"/>
  <c r="D1268" i="11" s="1"/>
  <c r="E1267" i="11"/>
  <c r="B1267" i="11"/>
  <c r="D1267" i="11" s="1"/>
  <c r="B1262" i="11"/>
  <c r="D1262" i="11" s="1"/>
  <c r="B1261" i="11"/>
  <c r="D1261" i="11" s="1"/>
  <c r="B1260" i="11"/>
  <c r="D1260" i="11" s="1"/>
  <c r="E1259" i="11"/>
  <c r="E1263" i="11" s="1"/>
  <c r="B1259" i="11"/>
  <c r="D1259" i="11" s="1"/>
  <c r="E1258" i="11"/>
  <c r="B1258" i="11"/>
  <c r="D1258" i="11" s="1"/>
  <c r="B1253" i="11"/>
  <c r="D1253" i="11" s="1"/>
  <c r="B1252" i="11"/>
  <c r="D1252" i="11" s="1"/>
  <c r="B1251" i="11"/>
  <c r="D1251" i="11" s="1"/>
  <c r="E1250" i="11"/>
  <c r="B1250" i="11"/>
  <c r="D1250" i="11" s="1"/>
  <c r="E1249" i="11"/>
  <c r="B1244" i="11"/>
  <c r="D1244" i="11" s="1"/>
  <c r="B1243" i="11"/>
  <c r="D1243" i="11" s="1"/>
  <c r="E1242" i="11"/>
  <c r="B1242" i="11"/>
  <c r="D1242" i="11" s="1"/>
  <c r="E1241" i="11"/>
  <c r="E1245" i="11" s="1"/>
  <c r="B1241" i="11"/>
  <c r="D1241" i="11" s="1"/>
  <c r="B1236" i="11"/>
  <c r="D1236" i="11" s="1"/>
  <c r="B1235" i="11"/>
  <c r="D1235" i="11" s="1"/>
  <c r="D1234" i="11"/>
  <c r="B1234" i="11"/>
  <c r="E1233" i="11"/>
  <c r="B1233" i="11"/>
  <c r="D1233" i="11" s="1"/>
  <c r="E1232" i="11"/>
  <c r="E1237" i="11" s="1"/>
  <c r="B1232" i="11"/>
  <c r="D1232" i="11" s="1"/>
  <c r="B1227" i="11"/>
  <c r="D1227" i="11" s="1"/>
  <c r="B1226" i="11"/>
  <c r="D1226" i="11" s="1"/>
  <c r="E1225" i="11"/>
  <c r="B1225" i="11"/>
  <c r="D1225" i="11" s="1"/>
  <c r="E1224" i="11"/>
  <c r="B1224" i="11"/>
  <c r="D1224" i="11" s="1"/>
  <c r="B1219" i="11"/>
  <c r="D1219" i="11" s="1"/>
  <c r="B1218" i="11"/>
  <c r="D1218" i="11" s="1"/>
  <c r="B1217" i="11"/>
  <c r="D1217" i="11" s="1"/>
  <c r="E1216" i="11"/>
  <c r="E1215" i="11"/>
  <c r="B1210" i="11"/>
  <c r="D1210" i="11" s="1"/>
  <c r="B1209" i="11"/>
  <c r="D1209" i="11" s="1"/>
  <c r="B1208" i="11"/>
  <c r="D1208" i="11" s="1"/>
  <c r="B1207" i="11"/>
  <c r="D1207" i="11" s="1"/>
  <c r="E1206" i="11"/>
  <c r="B1206" i="11"/>
  <c r="D1206" i="11" s="1"/>
  <c r="E1205" i="11"/>
  <c r="B1205" i="11"/>
  <c r="D1205" i="11" s="1"/>
  <c r="B1200" i="11"/>
  <c r="D1200" i="11" s="1"/>
  <c r="B1199" i="11"/>
  <c r="D1199" i="11" s="1"/>
  <c r="E1198" i="11"/>
  <c r="B1198" i="11"/>
  <c r="D1198" i="11" s="1"/>
  <c r="B1197" i="11"/>
  <c r="D1197" i="11" s="1"/>
  <c r="B1192" i="11"/>
  <c r="D1192" i="11" s="1"/>
  <c r="B1191" i="11"/>
  <c r="D1191" i="11" s="1"/>
  <c r="E1190" i="11"/>
  <c r="B1190" i="11"/>
  <c r="D1190" i="11" s="1"/>
  <c r="B1189" i="11"/>
  <c r="D1189" i="11" s="1"/>
  <c r="B1184" i="11"/>
  <c r="D1184" i="11" s="1"/>
  <c r="B1183" i="11"/>
  <c r="D1183" i="11" s="1"/>
  <c r="E1182" i="11"/>
  <c r="B1182" i="11"/>
  <c r="D1182" i="11" s="1"/>
  <c r="E1181" i="11"/>
  <c r="B1181" i="11"/>
  <c r="D1181" i="11" s="1"/>
  <c r="B1176" i="11"/>
  <c r="D1176" i="11" s="1"/>
  <c r="B1175" i="11"/>
  <c r="D1175" i="11" s="1"/>
  <c r="E1174" i="11"/>
  <c r="B1174" i="11"/>
  <c r="D1174" i="11" s="1"/>
  <c r="E1173" i="11"/>
  <c r="B1173" i="11"/>
  <c r="D1173" i="11" s="1"/>
  <c r="B1168" i="11"/>
  <c r="D1168" i="11" s="1"/>
  <c r="B1167" i="11"/>
  <c r="D1167" i="11" s="1"/>
  <c r="B1166" i="11"/>
  <c r="D1166" i="11" s="1"/>
  <c r="B1165" i="11"/>
  <c r="D1165" i="11" s="1"/>
  <c r="E1164" i="11"/>
  <c r="B1164" i="11"/>
  <c r="D1164" i="11" s="1"/>
  <c r="E1163" i="11"/>
  <c r="B1158" i="11"/>
  <c r="D1158" i="11" s="1"/>
  <c r="B1157" i="11"/>
  <c r="D1157" i="11" s="1"/>
  <c r="B1156" i="11"/>
  <c r="D1156" i="11" s="1"/>
  <c r="B1155" i="11"/>
  <c r="D1155" i="11" s="1"/>
  <c r="E1154" i="11"/>
  <c r="B1154" i="11"/>
  <c r="D1154" i="11" s="1"/>
  <c r="E1153" i="11"/>
  <c r="B1153" i="11"/>
  <c r="D1153" i="11" s="1"/>
  <c r="B1148" i="11"/>
  <c r="D1148" i="11" s="1"/>
  <c r="B1147" i="11"/>
  <c r="D1147" i="11" s="1"/>
  <c r="B1146" i="11"/>
  <c r="D1146" i="11" s="1"/>
  <c r="D1145" i="11"/>
  <c r="B1145" i="11"/>
  <c r="E1144" i="11"/>
  <c r="B1144" i="11"/>
  <c r="D1144" i="11" s="1"/>
  <c r="E1143" i="11"/>
  <c r="B1143" i="11"/>
  <c r="D1143" i="11" s="1"/>
  <c r="B1138" i="11"/>
  <c r="D1138" i="11" s="1"/>
  <c r="D1137" i="11"/>
  <c r="B1137" i="11"/>
  <c r="B1136" i="11"/>
  <c r="D1136" i="11" s="1"/>
  <c r="B1135" i="11"/>
  <c r="D1135" i="11" s="1"/>
  <c r="E1134" i="11"/>
  <c r="B1134" i="11"/>
  <c r="D1134" i="11" s="1"/>
  <c r="B1129" i="11"/>
  <c r="D1129" i="11" s="1"/>
  <c r="B1128" i="11"/>
  <c r="D1128" i="11" s="1"/>
  <c r="B1127" i="11"/>
  <c r="D1127" i="11" s="1"/>
  <c r="B1126" i="11"/>
  <c r="D1126" i="11" s="1"/>
  <c r="E1125" i="11"/>
  <c r="B1125" i="11"/>
  <c r="D1125" i="11" s="1"/>
  <c r="B1120" i="11"/>
  <c r="D1120" i="11" s="1"/>
  <c r="B1119" i="11"/>
  <c r="D1119" i="11" s="1"/>
  <c r="B1118" i="11"/>
  <c r="D1118" i="11" s="1"/>
  <c r="E1117" i="11"/>
  <c r="B1117" i="11"/>
  <c r="D1117" i="11" s="1"/>
  <c r="E1116" i="11"/>
  <c r="B1116" i="11"/>
  <c r="D1116" i="11" s="1"/>
  <c r="B1111" i="11"/>
  <c r="D1111" i="11" s="1"/>
  <c r="B1110" i="11"/>
  <c r="D1110" i="11" s="1"/>
  <c r="B1109" i="11"/>
  <c r="D1109" i="11" s="1"/>
  <c r="B1108" i="11"/>
  <c r="D1108" i="11" s="1"/>
  <c r="E1107" i="11"/>
  <c r="B1107" i="11"/>
  <c r="D1107" i="11" s="1"/>
  <c r="B1102" i="11"/>
  <c r="D1102" i="11" s="1"/>
  <c r="B1101" i="11"/>
  <c r="D1101" i="11" s="1"/>
  <c r="B1100" i="11"/>
  <c r="D1100" i="11" s="1"/>
  <c r="B1099" i="11"/>
  <c r="D1099" i="11" s="1"/>
  <c r="E1098" i="11"/>
  <c r="B1098" i="11"/>
  <c r="D1098" i="11" s="1"/>
  <c r="E1097" i="11"/>
  <c r="B1097" i="11"/>
  <c r="D1097" i="11" s="1"/>
  <c r="B1092" i="11"/>
  <c r="D1092" i="11" s="1"/>
  <c r="D1091" i="11"/>
  <c r="B1091" i="11"/>
  <c r="B1090" i="11"/>
  <c r="D1090" i="11" s="1"/>
  <c r="B1089" i="11"/>
  <c r="D1089" i="11" s="1"/>
  <c r="E1088" i="11"/>
  <c r="D1083" i="11"/>
  <c r="B1083" i="11"/>
  <c r="B1082" i="11"/>
  <c r="D1082" i="11" s="1"/>
  <c r="B1081" i="11"/>
  <c r="D1081" i="11" s="1"/>
  <c r="B1080" i="11"/>
  <c r="D1080" i="11" s="1"/>
  <c r="E1079" i="11"/>
  <c r="B1079" i="11"/>
  <c r="D1079" i="11" s="1"/>
  <c r="E1078" i="11"/>
  <c r="D1078" i="11"/>
  <c r="B1078" i="11"/>
  <c r="B1073" i="11"/>
  <c r="D1073" i="11" s="1"/>
  <c r="B1072" i="11"/>
  <c r="D1072" i="11" s="1"/>
  <c r="B1071" i="11"/>
  <c r="D1071" i="11" s="1"/>
  <c r="B1070" i="11"/>
  <c r="D1070" i="11" s="1"/>
  <c r="E1069" i="11"/>
  <c r="B1069" i="11"/>
  <c r="D1069" i="11" s="1"/>
  <c r="E1068" i="11"/>
  <c r="B1068" i="11"/>
  <c r="D1068" i="11" s="1"/>
  <c r="D1063" i="11"/>
  <c r="B1063" i="11"/>
  <c r="B1062" i="11"/>
  <c r="D1062" i="11" s="1"/>
  <c r="B1061" i="11"/>
  <c r="D1061" i="11" s="1"/>
  <c r="B1060" i="11"/>
  <c r="D1060" i="11" s="1"/>
  <c r="E1059" i="11"/>
  <c r="B1059" i="11"/>
  <c r="D1059" i="11" s="1"/>
  <c r="E1058" i="11"/>
  <c r="D1058" i="11"/>
  <c r="B1058" i="11"/>
  <c r="B1053" i="11"/>
  <c r="D1053" i="11" s="1"/>
  <c r="B1052" i="11"/>
  <c r="D1052" i="11" s="1"/>
  <c r="B1051" i="11"/>
  <c r="D1051" i="11" s="1"/>
  <c r="B1050" i="11"/>
  <c r="D1050" i="11" s="1"/>
  <c r="E1049" i="11"/>
  <c r="B1049" i="11"/>
  <c r="D1049" i="11" s="1"/>
  <c r="E1048" i="11"/>
  <c r="B1048" i="11"/>
  <c r="D1048" i="11" s="1"/>
  <c r="B1043" i="11"/>
  <c r="D1043" i="11" s="1"/>
  <c r="B1042" i="11"/>
  <c r="D1042" i="11" s="1"/>
  <c r="B1041" i="11"/>
  <c r="D1041" i="11" s="1"/>
  <c r="B1040" i="11"/>
  <c r="D1040" i="11" s="1"/>
  <c r="E1039" i="11"/>
  <c r="B1039" i="11"/>
  <c r="D1039" i="11" s="1"/>
  <c r="E1038" i="11"/>
  <c r="B1038" i="11"/>
  <c r="D1038" i="11" s="1"/>
  <c r="B1033" i="11"/>
  <c r="D1033" i="11" s="1"/>
  <c r="B1032" i="11"/>
  <c r="D1032" i="11" s="1"/>
  <c r="B1031" i="11"/>
  <c r="D1031" i="11" s="1"/>
  <c r="B1030" i="11"/>
  <c r="D1030" i="11" s="1"/>
  <c r="E1029" i="11"/>
  <c r="B1029" i="11"/>
  <c r="D1029" i="11" s="1"/>
  <c r="B1028" i="11"/>
  <c r="D1028" i="11" s="1"/>
  <c r="B1023" i="11"/>
  <c r="D1023" i="11" s="1"/>
  <c r="B1022" i="11"/>
  <c r="D1022" i="11" s="1"/>
  <c r="B1021" i="11"/>
  <c r="D1021" i="11" s="1"/>
  <c r="B1020" i="11"/>
  <c r="D1020" i="11" s="1"/>
  <c r="E1019" i="11"/>
  <c r="B1019" i="11"/>
  <c r="D1019" i="11" s="1"/>
  <c r="E1018" i="11"/>
  <c r="E1024" i="11" s="1"/>
  <c r="B1018" i="11"/>
  <c r="D1018" i="11" s="1"/>
  <c r="B1013" i="11"/>
  <c r="D1013" i="11" s="1"/>
  <c r="B1012" i="11"/>
  <c r="D1012" i="11" s="1"/>
  <c r="B1011" i="11"/>
  <c r="D1011" i="11" s="1"/>
  <c r="D1010" i="11"/>
  <c r="B1010" i="11"/>
  <c r="E1009" i="11"/>
  <c r="B1009" i="11"/>
  <c r="D1009" i="11" s="1"/>
  <c r="E1008" i="11"/>
  <c r="E1014" i="11" s="1"/>
  <c r="B1008" i="11"/>
  <c r="D1008" i="11" s="1"/>
  <c r="B1003" i="11"/>
  <c r="D1003" i="11" s="1"/>
  <c r="B1002" i="11"/>
  <c r="D1002" i="11" s="1"/>
  <c r="B1001" i="11"/>
  <c r="D1001" i="11" s="1"/>
  <c r="E1000" i="11"/>
  <c r="B1000" i="11"/>
  <c r="D1000" i="11" s="1"/>
  <c r="E999" i="11"/>
  <c r="B999" i="11"/>
  <c r="D999" i="11" s="1"/>
  <c r="B994" i="11"/>
  <c r="D994" i="11" s="1"/>
  <c r="B993" i="11"/>
  <c r="D993" i="11" s="1"/>
  <c r="B992" i="11"/>
  <c r="D992" i="11" s="1"/>
  <c r="B991" i="11"/>
  <c r="D991" i="11" s="1"/>
  <c r="E990" i="11"/>
  <c r="B990" i="11"/>
  <c r="D990" i="11" s="1"/>
  <c r="B985" i="11"/>
  <c r="D985" i="11" s="1"/>
  <c r="B984" i="11"/>
  <c r="D984" i="11" s="1"/>
  <c r="B983" i="11"/>
  <c r="D983" i="11" s="1"/>
  <c r="B982" i="11"/>
  <c r="D982" i="11" s="1"/>
  <c r="E981" i="11"/>
  <c r="B981" i="11"/>
  <c r="D981" i="11" s="1"/>
  <c r="B976" i="11"/>
  <c r="D976" i="11" s="1"/>
  <c r="B975" i="11"/>
  <c r="D975" i="11" s="1"/>
  <c r="B974" i="11"/>
  <c r="D974" i="11" s="1"/>
  <c r="B973" i="11"/>
  <c r="D973" i="11" s="1"/>
  <c r="E972" i="11"/>
  <c r="B972" i="11"/>
  <c r="D972" i="11" s="1"/>
  <c r="B967" i="11"/>
  <c r="D967" i="11" s="1"/>
  <c r="B966" i="11"/>
  <c r="D966" i="11" s="1"/>
  <c r="B965" i="11"/>
  <c r="D965" i="11" s="1"/>
  <c r="B964" i="11"/>
  <c r="D964" i="11" s="1"/>
  <c r="E963" i="11"/>
  <c r="B963" i="11"/>
  <c r="D963" i="11" s="1"/>
  <c r="D958" i="11"/>
  <c r="B958" i="11"/>
  <c r="B957" i="11"/>
  <c r="D957" i="11" s="1"/>
  <c r="B956" i="11"/>
  <c r="D956" i="11" s="1"/>
  <c r="B955" i="11"/>
  <c r="D955" i="11" s="1"/>
  <c r="E954" i="11"/>
  <c r="B954" i="11"/>
  <c r="D954" i="11" s="1"/>
  <c r="D949" i="11"/>
  <c r="B949" i="11"/>
  <c r="B948" i="11"/>
  <c r="D948" i="11" s="1"/>
  <c r="B947" i="11"/>
  <c r="D947" i="11" s="1"/>
  <c r="B946" i="11"/>
  <c r="D946" i="11" s="1"/>
  <c r="E945" i="11"/>
  <c r="B945" i="11"/>
  <c r="D945" i="11" s="1"/>
  <c r="D940" i="11"/>
  <c r="B940" i="11"/>
  <c r="B939" i="11"/>
  <c r="D939" i="11" s="1"/>
  <c r="E938" i="11"/>
  <c r="B938" i="11"/>
  <c r="D938" i="11" s="1"/>
  <c r="E937" i="11"/>
  <c r="B937" i="11"/>
  <c r="D937" i="11" s="1"/>
  <c r="B932" i="11"/>
  <c r="D932" i="11" s="1"/>
  <c r="D931" i="11"/>
  <c r="B931" i="11"/>
  <c r="B930" i="11"/>
  <c r="D930" i="11" s="1"/>
  <c r="B929" i="11"/>
  <c r="D929" i="11" s="1"/>
  <c r="E928" i="11"/>
  <c r="B928" i="11"/>
  <c r="D928" i="11" s="1"/>
  <c r="B923" i="11"/>
  <c r="D923" i="11" s="1"/>
  <c r="B922" i="11"/>
  <c r="D922" i="11" s="1"/>
  <c r="B921" i="11"/>
  <c r="D921" i="11" s="1"/>
  <c r="E920" i="11"/>
  <c r="B920" i="11"/>
  <c r="D920" i="11" s="1"/>
  <c r="E919" i="11"/>
  <c r="B919" i="11"/>
  <c r="D919" i="11" s="1"/>
  <c r="B914" i="11"/>
  <c r="D914" i="11" s="1"/>
  <c r="B913" i="11"/>
  <c r="D913" i="11" s="1"/>
  <c r="B912" i="11"/>
  <c r="D912" i="11" s="1"/>
  <c r="B911" i="11"/>
  <c r="D911" i="11" s="1"/>
  <c r="E910" i="11"/>
  <c r="B910" i="11"/>
  <c r="D910" i="11" s="1"/>
  <c r="B905" i="11"/>
  <c r="B904" i="11"/>
  <c r="D904" i="11" s="1"/>
  <c r="B903" i="11"/>
  <c r="D903" i="11" s="1"/>
  <c r="E902" i="11"/>
  <c r="B902" i="11"/>
  <c r="D902" i="11" s="1"/>
  <c r="E901" i="11"/>
  <c r="B901" i="11"/>
  <c r="D901" i="11" s="1"/>
  <c r="B896" i="11"/>
  <c r="D896" i="11" s="1"/>
  <c r="B895" i="11"/>
  <c r="D895" i="11" s="1"/>
  <c r="B894" i="11"/>
  <c r="D894" i="11" s="1"/>
  <c r="E893" i="11"/>
  <c r="B893" i="11"/>
  <c r="D893" i="11" s="1"/>
  <c r="E892" i="11"/>
  <c r="B892" i="11"/>
  <c r="D892" i="11" s="1"/>
  <c r="B887" i="11"/>
  <c r="D887" i="11" s="1"/>
  <c r="B886" i="11"/>
  <c r="D886" i="11" s="1"/>
  <c r="B885" i="11"/>
  <c r="D885" i="11" s="1"/>
  <c r="E884" i="11"/>
  <c r="B884" i="11"/>
  <c r="D884" i="11" s="1"/>
  <c r="E883" i="11"/>
  <c r="B883" i="11"/>
  <c r="D883" i="11" s="1"/>
  <c r="B878" i="11"/>
  <c r="D878" i="11" s="1"/>
  <c r="B877" i="11"/>
  <c r="D877" i="11" s="1"/>
  <c r="B876" i="11"/>
  <c r="D876" i="11" s="1"/>
  <c r="B875" i="11"/>
  <c r="D875" i="11" s="1"/>
  <c r="E874" i="11"/>
  <c r="B874" i="11"/>
  <c r="D874" i="11" s="1"/>
  <c r="B869" i="11"/>
  <c r="D869" i="11" s="1"/>
  <c r="B868" i="11"/>
  <c r="D868" i="11" s="1"/>
  <c r="B867" i="11"/>
  <c r="D867" i="11" s="1"/>
  <c r="B866" i="11"/>
  <c r="D866" i="11" s="1"/>
  <c r="E865" i="11"/>
  <c r="B865" i="11"/>
  <c r="D865" i="11" s="1"/>
  <c r="B860" i="11"/>
  <c r="D860" i="11" s="1"/>
  <c r="B859" i="11"/>
  <c r="D859" i="11" s="1"/>
  <c r="B858" i="11"/>
  <c r="D858" i="11" s="1"/>
  <c r="B857" i="11"/>
  <c r="D857" i="11" s="1"/>
  <c r="E856" i="11"/>
  <c r="B856" i="11"/>
  <c r="D856" i="11" s="1"/>
  <c r="B851" i="11"/>
  <c r="D851" i="11" s="1"/>
  <c r="B850" i="11"/>
  <c r="D850" i="11" s="1"/>
  <c r="B849" i="11"/>
  <c r="D849" i="11" s="1"/>
  <c r="E848" i="11"/>
  <c r="B848" i="11"/>
  <c r="D848" i="11" s="1"/>
  <c r="E847" i="11"/>
  <c r="B842" i="11"/>
  <c r="D842" i="11" s="1"/>
  <c r="B841" i="11"/>
  <c r="D841" i="11" s="1"/>
  <c r="B840" i="11"/>
  <c r="D840" i="11" s="1"/>
  <c r="E839" i="11"/>
  <c r="B839" i="11"/>
  <c r="D839" i="11" s="1"/>
  <c r="E838" i="11"/>
  <c r="E843" i="11" s="1"/>
  <c r="D838" i="11"/>
  <c r="B838" i="11"/>
  <c r="B833" i="11"/>
  <c r="D833" i="11" s="1"/>
  <c r="B832" i="11"/>
  <c r="D832" i="11" s="1"/>
  <c r="E831" i="11"/>
  <c r="B831" i="11"/>
  <c r="D831" i="11" s="1"/>
  <c r="E830" i="11"/>
  <c r="B830" i="11"/>
  <c r="D830" i="11" s="1"/>
  <c r="B824" i="11"/>
  <c r="D824" i="11" s="1"/>
  <c r="E822" i="11"/>
  <c r="B822" i="11"/>
  <c r="D822" i="11" s="1"/>
  <c r="E814" i="11"/>
  <c r="B814" i="11"/>
  <c r="D814" i="11" s="1"/>
  <c r="B808" i="11"/>
  <c r="D808" i="11" s="1"/>
  <c r="B807" i="11"/>
  <c r="D807" i="11" s="1"/>
  <c r="B806" i="11"/>
  <c r="D806" i="11" s="1"/>
  <c r="E805" i="11"/>
  <c r="B805" i="11"/>
  <c r="D805" i="11" s="1"/>
  <c r="E804" i="11"/>
  <c r="B804" i="11"/>
  <c r="D804" i="11" s="1"/>
  <c r="B799" i="11"/>
  <c r="D799" i="11" s="1"/>
  <c r="B798" i="11"/>
  <c r="D798" i="11" s="1"/>
  <c r="B797" i="11"/>
  <c r="D797" i="11" s="1"/>
  <c r="E796" i="11"/>
  <c r="B796" i="11"/>
  <c r="D796" i="11" s="1"/>
  <c r="E795" i="11"/>
  <c r="B795" i="11"/>
  <c r="D795" i="11" s="1"/>
  <c r="B790" i="11"/>
  <c r="D790" i="11" s="1"/>
  <c r="B789" i="11"/>
  <c r="D789" i="11" s="1"/>
  <c r="B788" i="11"/>
  <c r="D788" i="11" s="1"/>
  <c r="B787" i="11"/>
  <c r="D787" i="11" s="1"/>
  <c r="E786" i="11"/>
  <c r="B786" i="11"/>
  <c r="D786" i="11" s="1"/>
  <c r="B781" i="11"/>
  <c r="D781" i="11" s="1"/>
  <c r="B780" i="11"/>
  <c r="D780" i="11" s="1"/>
  <c r="B779" i="11"/>
  <c r="D779" i="11" s="1"/>
  <c r="B778" i="11"/>
  <c r="D778" i="11" s="1"/>
  <c r="E777" i="11"/>
  <c r="B777" i="11"/>
  <c r="D777" i="11" s="1"/>
  <c r="B772" i="11"/>
  <c r="D772" i="11" s="1"/>
  <c r="B771" i="11"/>
  <c r="D771" i="11" s="1"/>
  <c r="B770" i="11"/>
  <c r="D770" i="11" s="1"/>
  <c r="B769" i="11"/>
  <c r="D769" i="11" s="1"/>
  <c r="E768" i="11"/>
  <c r="B763" i="11"/>
  <c r="D763" i="11" s="1"/>
  <c r="B762" i="11"/>
  <c r="D762" i="11" s="1"/>
  <c r="B761" i="11"/>
  <c r="D761" i="11" s="1"/>
  <c r="B760" i="11"/>
  <c r="D760" i="11" s="1"/>
  <c r="E759" i="11"/>
  <c r="B754" i="11"/>
  <c r="D754" i="11" s="1"/>
  <c r="B753" i="11"/>
  <c r="D753" i="11" s="1"/>
  <c r="E752" i="11"/>
  <c r="B752" i="11"/>
  <c r="D752" i="11" s="1"/>
  <c r="E751" i="11"/>
  <c r="D751" i="11"/>
  <c r="B751" i="11"/>
  <c r="B746" i="11"/>
  <c r="D746" i="11" s="1"/>
  <c r="B745" i="11"/>
  <c r="D745" i="11" s="1"/>
  <c r="B744" i="11"/>
  <c r="D744" i="11" s="1"/>
  <c r="E743" i="11"/>
  <c r="B743" i="11"/>
  <c r="D743" i="11" s="1"/>
  <c r="E742" i="11"/>
  <c r="B742" i="11"/>
  <c r="D742" i="11" s="1"/>
  <c r="B736" i="11"/>
  <c r="D736" i="11" s="1"/>
  <c r="B735" i="11"/>
  <c r="D735" i="11" s="1"/>
  <c r="E734" i="11"/>
  <c r="B734" i="11"/>
  <c r="D734" i="11" s="1"/>
  <c r="E733" i="11"/>
  <c r="E737" i="11" s="1"/>
  <c r="B733" i="11"/>
  <c r="D733" i="11" s="1"/>
  <c r="D727" i="11"/>
  <c r="B727" i="11"/>
  <c r="B726" i="11"/>
  <c r="D726" i="11" s="1"/>
  <c r="E725" i="11"/>
  <c r="B725" i="11"/>
  <c r="D725" i="11" s="1"/>
  <c r="E724" i="11"/>
  <c r="B724" i="11"/>
  <c r="D724" i="11" s="1"/>
  <c r="D719" i="11"/>
  <c r="B719" i="11"/>
  <c r="B718" i="11"/>
  <c r="D718" i="11" s="1"/>
  <c r="B717" i="11"/>
  <c r="D717" i="11" s="1"/>
  <c r="B716" i="11"/>
  <c r="D716" i="11" s="1"/>
  <c r="E715" i="11"/>
  <c r="B715" i="11"/>
  <c r="D715" i="11" s="1"/>
  <c r="E714" i="11"/>
  <c r="B714" i="11"/>
  <c r="D714" i="11" s="1"/>
  <c r="B709" i="11"/>
  <c r="D709" i="11" s="1"/>
  <c r="B708" i="11"/>
  <c r="D708" i="11" s="1"/>
  <c r="B707" i="11"/>
  <c r="D707" i="11" s="1"/>
  <c r="B706" i="11"/>
  <c r="D706" i="11" s="1"/>
  <c r="E705" i="11"/>
  <c r="B705" i="11"/>
  <c r="D705" i="11" s="1"/>
  <c r="E704" i="11"/>
  <c r="B704" i="11"/>
  <c r="D704" i="11" s="1"/>
  <c r="B699" i="11"/>
  <c r="D699" i="11" s="1"/>
  <c r="B698" i="11"/>
  <c r="D698" i="11" s="1"/>
  <c r="B697" i="11"/>
  <c r="D697" i="11" s="1"/>
  <c r="B696" i="11"/>
  <c r="D696" i="11" s="1"/>
  <c r="E695" i="11"/>
  <c r="B695" i="11"/>
  <c r="D695" i="11" s="1"/>
  <c r="B690" i="11"/>
  <c r="D690" i="11" s="1"/>
  <c r="B689" i="11"/>
  <c r="D689" i="11" s="1"/>
  <c r="B688" i="11"/>
  <c r="D688" i="11" s="1"/>
  <c r="B687" i="11"/>
  <c r="D687" i="11" s="1"/>
  <c r="E686" i="11"/>
  <c r="B686" i="11"/>
  <c r="D686" i="11" s="1"/>
  <c r="B681" i="11"/>
  <c r="D681" i="11" s="1"/>
  <c r="B680" i="11"/>
  <c r="D680" i="11" s="1"/>
  <c r="B679" i="11"/>
  <c r="D679" i="11" s="1"/>
  <c r="B678" i="11"/>
  <c r="D678" i="11" s="1"/>
  <c r="E677" i="11"/>
  <c r="B677" i="11"/>
  <c r="D677" i="11" s="1"/>
  <c r="B672" i="11"/>
  <c r="B671" i="11"/>
  <c r="E670" i="11"/>
  <c r="B670" i="11"/>
  <c r="D670" i="11" s="1"/>
  <c r="E669" i="11"/>
  <c r="E813" i="11" s="1"/>
  <c r="D669" i="11"/>
  <c r="D813" i="11" s="1"/>
  <c r="B669" i="11"/>
  <c r="B813" i="11" s="1"/>
  <c r="B664" i="11"/>
  <c r="D664" i="11" s="1"/>
  <c r="B663" i="11"/>
  <c r="D663" i="11" s="1"/>
  <c r="E662" i="11"/>
  <c r="B662" i="11"/>
  <c r="D662" i="11" s="1"/>
  <c r="E661" i="11"/>
  <c r="B661" i="11"/>
  <c r="D661" i="11" s="1"/>
  <c r="B656" i="11"/>
  <c r="D656" i="11" s="1"/>
  <c r="B655" i="11"/>
  <c r="D655" i="11" s="1"/>
  <c r="B654" i="11"/>
  <c r="D654" i="11" s="1"/>
  <c r="E653" i="11"/>
  <c r="B653" i="11"/>
  <c r="D653" i="11" s="1"/>
  <c r="E652" i="11"/>
  <c r="B652" i="11"/>
  <c r="D652" i="11" s="1"/>
  <c r="B647" i="11"/>
  <c r="D647" i="11" s="1"/>
  <c r="B646" i="11"/>
  <c r="D646" i="11" s="1"/>
  <c r="B645" i="11"/>
  <c r="D645" i="11" s="1"/>
  <c r="B644" i="11"/>
  <c r="D644" i="11" s="1"/>
  <c r="E643" i="11"/>
  <c r="B643" i="11"/>
  <c r="D643" i="11" s="1"/>
  <c r="E642" i="11"/>
  <c r="B642" i="11"/>
  <c r="D642" i="11" s="1"/>
  <c r="B637" i="11"/>
  <c r="D637" i="11" s="1"/>
  <c r="B636" i="11"/>
  <c r="D636" i="11" s="1"/>
  <c r="B635" i="11"/>
  <c r="D635" i="11" s="1"/>
  <c r="E634" i="11"/>
  <c r="B634" i="11"/>
  <c r="D634" i="11" s="1"/>
  <c r="E633" i="11"/>
  <c r="B628" i="11"/>
  <c r="D628" i="11" s="1"/>
  <c r="B627" i="11"/>
  <c r="D627" i="11" s="1"/>
  <c r="B626" i="11"/>
  <c r="D626" i="11" s="1"/>
  <c r="E625" i="11"/>
  <c r="B625" i="11"/>
  <c r="D625" i="11" s="1"/>
  <c r="E624" i="11"/>
  <c r="B624" i="11"/>
  <c r="D624" i="11" s="1"/>
  <c r="D619" i="11"/>
  <c r="B619" i="11"/>
  <c r="B618" i="11"/>
  <c r="D618" i="11" s="1"/>
  <c r="B617" i="11"/>
  <c r="D617" i="11" s="1"/>
  <c r="B616" i="11"/>
  <c r="D616" i="11" s="1"/>
  <c r="E615" i="11"/>
  <c r="B615" i="11"/>
  <c r="D615" i="11" s="1"/>
  <c r="B610" i="11"/>
  <c r="D610" i="11" s="1"/>
  <c r="B609" i="11"/>
  <c r="D609" i="11" s="1"/>
  <c r="B608" i="11"/>
  <c r="D608" i="11" s="1"/>
  <c r="B607" i="11"/>
  <c r="D607" i="11" s="1"/>
  <c r="E606" i="11"/>
  <c r="B606" i="11"/>
  <c r="D606" i="11" s="1"/>
  <c r="B601" i="11"/>
  <c r="D601" i="11" s="1"/>
  <c r="D600" i="11"/>
  <c r="B600" i="11"/>
  <c r="B599" i="11"/>
  <c r="D599" i="11" s="1"/>
  <c r="B598" i="11"/>
  <c r="D598" i="11" s="1"/>
  <c r="E597" i="11"/>
  <c r="B597" i="11"/>
  <c r="D597" i="11" s="1"/>
  <c r="B592" i="11"/>
  <c r="D592" i="11" s="1"/>
  <c r="B591" i="11"/>
  <c r="D591" i="11" s="1"/>
  <c r="D590" i="11"/>
  <c r="B590" i="11"/>
  <c r="B589" i="11"/>
  <c r="D589" i="11" s="1"/>
  <c r="E588" i="11"/>
  <c r="B588" i="11"/>
  <c r="D588" i="11" s="1"/>
  <c r="B583" i="11"/>
  <c r="D583" i="11" s="1"/>
  <c r="B582" i="11"/>
  <c r="D582" i="11" s="1"/>
  <c r="B581" i="11"/>
  <c r="D581" i="11" s="1"/>
  <c r="B580" i="11"/>
  <c r="D580" i="11" s="1"/>
  <c r="E579" i="11"/>
  <c r="B579" i="11"/>
  <c r="D579" i="11" s="1"/>
  <c r="E578" i="11"/>
  <c r="B578" i="11"/>
  <c r="D578" i="11" s="1"/>
  <c r="B573" i="11"/>
  <c r="D573" i="11" s="1"/>
  <c r="B572" i="11"/>
  <c r="D572" i="11" s="1"/>
  <c r="B571" i="11"/>
  <c r="D571" i="11" s="1"/>
  <c r="B570" i="11"/>
  <c r="D570" i="11" s="1"/>
  <c r="E569" i="11"/>
  <c r="B569" i="11"/>
  <c r="D569" i="11" s="1"/>
  <c r="B564" i="11"/>
  <c r="D564" i="11" s="1"/>
  <c r="D563" i="11"/>
  <c r="B563" i="11"/>
  <c r="B562" i="11"/>
  <c r="D562" i="11" s="1"/>
  <c r="B561" i="11"/>
  <c r="D561" i="11" s="1"/>
  <c r="E560" i="11"/>
  <c r="B560" i="11"/>
  <c r="D560" i="11" s="1"/>
  <c r="E559" i="11"/>
  <c r="B559" i="11"/>
  <c r="D559" i="11" s="1"/>
  <c r="B553" i="11"/>
  <c r="D553" i="11" s="1"/>
  <c r="B552" i="11"/>
  <c r="D552" i="11" s="1"/>
  <c r="B551" i="11"/>
  <c r="D551" i="11" s="1"/>
  <c r="B550" i="11"/>
  <c r="D550" i="11" s="1"/>
  <c r="E549" i="11"/>
  <c r="B549" i="11"/>
  <c r="D549" i="11" s="1"/>
  <c r="B544" i="11"/>
  <c r="D544" i="11" s="1"/>
  <c r="B543" i="11"/>
  <c r="D543" i="11" s="1"/>
  <c r="D542" i="11"/>
  <c r="B542" i="11"/>
  <c r="B541" i="11"/>
  <c r="D541" i="11" s="1"/>
  <c r="E540" i="11"/>
  <c r="B540" i="11"/>
  <c r="D540" i="11" s="1"/>
  <c r="B535" i="11"/>
  <c r="D535" i="11" s="1"/>
  <c r="D534" i="11"/>
  <c r="B534" i="11"/>
  <c r="B533" i="11"/>
  <c r="D533" i="11" s="1"/>
  <c r="B532" i="11"/>
  <c r="D532" i="11" s="1"/>
  <c r="E531" i="11"/>
  <c r="B531" i="11"/>
  <c r="D531" i="11" s="1"/>
  <c r="B526" i="11"/>
  <c r="D526" i="11" s="1"/>
  <c r="B525" i="11"/>
  <c r="D525" i="11" s="1"/>
  <c r="B524" i="11"/>
  <c r="D524" i="11" s="1"/>
  <c r="B523" i="11"/>
  <c r="D523" i="11" s="1"/>
  <c r="E522" i="11"/>
  <c r="B522" i="11"/>
  <c r="D522" i="11" s="1"/>
  <c r="E521" i="11"/>
  <c r="B521" i="11"/>
  <c r="D521" i="11" s="1"/>
  <c r="D516" i="11"/>
  <c r="B516" i="11"/>
  <c r="B515" i="11"/>
  <c r="D515" i="11" s="1"/>
  <c r="B514" i="11"/>
  <c r="D514" i="11" s="1"/>
  <c r="E513" i="11"/>
  <c r="B513" i="11"/>
  <c r="D513" i="11" s="1"/>
  <c r="E512" i="11"/>
  <c r="E517" i="11" s="1"/>
  <c r="B512" i="11"/>
  <c r="D512" i="11" s="1"/>
  <c r="B507" i="11"/>
  <c r="D507" i="11" s="1"/>
  <c r="B506" i="11"/>
  <c r="D506" i="11" s="1"/>
  <c r="B505" i="11"/>
  <c r="D505" i="11" s="1"/>
  <c r="E504" i="11"/>
  <c r="B504" i="11"/>
  <c r="D504" i="11" s="1"/>
  <c r="E503" i="11"/>
  <c r="B503" i="11"/>
  <c r="D503" i="11" s="1"/>
  <c r="B498" i="11"/>
  <c r="D498" i="11" s="1"/>
  <c r="B497" i="11"/>
  <c r="D497" i="11" s="1"/>
  <c r="B496" i="11"/>
  <c r="D496" i="11" s="1"/>
  <c r="D495" i="11"/>
  <c r="B495" i="11"/>
  <c r="B494" i="11"/>
  <c r="D494" i="11" s="1"/>
  <c r="E493" i="11"/>
  <c r="B493" i="11"/>
  <c r="D493" i="11" s="1"/>
  <c r="B488" i="11"/>
  <c r="D488" i="11" s="1"/>
  <c r="B487" i="11"/>
  <c r="D487" i="11" s="1"/>
  <c r="B486" i="11"/>
  <c r="D486" i="11" s="1"/>
  <c r="E485" i="11"/>
  <c r="B485" i="11"/>
  <c r="D485" i="11" s="1"/>
  <c r="E484" i="11"/>
  <c r="B479" i="11"/>
  <c r="D479" i="11" s="1"/>
  <c r="B478" i="11"/>
  <c r="D478" i="11" s="1"/>
  <c r="B477" i="11"/>
  <c r="D477" i="11" s="1"/>
  <c r="B476" i="11"/>
  <c r="D476" i="11" s="1"/>
  <c r="E475" i="11"/>
  <c r="B470" i="11"/>
  <c r="D470" i="11" s="1"/>
  <c r="B469" i="11"/>
  <c r="D469" i="11" s="1"/>
  <c r="B468" i="11"/>
  <c r="D468" i="11" s="1"/>
  <c r="B467" i="11"/>
  <c r="D467" i="11" s="1"/>
  <c r="E466" i="11"/>
  <c r="B466" i="11"/>
  <c r="D466" i="11" s="1"/>
  <c r="E465" i="11"/>
  <c r="B465" i="11"/>
  <c r="D465" i="11" s="1"/>
  <c r="B460" i="11"/>
  <c r="D460" i="11" s="1"/>
  <c r="B459" i="11"/>
  <c r="D459" i="11" s="1"/>
  <c r="B458" i="11"/>
  <c r="D458" i="11" s="1"/>
  <c r="E457" i="11"/>
  <c r="B457" i="11"/>
  <c r="D457" i="11" s="1"/>
  <c r="E456" i="11"/>
  <c r="B456" i="11"/>
  <c r="D456" i="11" s="1"/>
  <c r="B451" i="11"/>
  <c r="D451" i="11" s="1"/>
  <c r="B450" i="11"/>
  <c r="D450" i="11" s="1"/>
  <c r="B449" i="11"/>
  <c r="D449" i="11" s="1"/>
  <c r="E448" i="11"/>
  <c r="B448" i="11"/>
  <c r="D448" i="11" s="1"/>
  <c r="E447" i="11"/>
  <c r="B447" i="11"/>
  <c r="D447" i="11" s="1"/>
  <c r="B442" i="11"/>
  <c r="B825" i="11" s="1"/>
  <c r="D825" i="11" s="1"/>
  <c r="D441" i="11"/>
  <c r="B440" i="11"/>
  <c r="E439" i="11"/>
  <c r="B439" i="11"/>
  <c r="D439" i="11" s="1"/>
  <c r="E438" i="11"/>
  <c r="E821" i="11" s="1"/>
  <c r="E826" i="11" s="1"/>
  <c r="B438" i="11"/>
  <c r="B433" i="11"/>
  <c r="D433" i="11" s="1"/>
  <c r="B432" i="11"/>
  <c r="D432" i="11" s="1"/>
  <c r="B431" i="11"/>
  <c r="D431" i="11" s="1"/>
  <c r="E430" i="11"/>
  <c r="B430" i="11"/>
  <c r="D430" i="11" s="1"/>
  <c r="E429" i="11"/>
  <c r="E434" i="11" s="1"/>
  <c r="B429" i="11"/>
  <c r="D429" i="11" s="1"/>
  <c r="B424" i="11"/>
  <c r="D424" i="11" s="1"/>
  <c r="B423" i="11"/>
  <c r="D423" i="11" s="1"/>
  <c r="B422" i="11"/>
  <c r="D422" i="11" s="1"/>
  <c r="B421" i="11"/>
  <c r="D421" i="11" s="1"/>
  <c r="E420" i="11"/>
  <c r="B420" i="11"/>
  <c r="D420" i="11" s="1"/>
  <c r="E419" i="11"/>
  <c r="E425" i="11" s="1"/>
  <c r="B419" i="11"/>
  <c r="D419" i="11" s="1"/>
  <c r="B414" i="11"/>
  <c r="D414" i="11" s="1"/>
  <c r="B413" i="11"/>
  <c r="D413" i="11" s="1"/>
  <c r="B412" i="11"/>
  <c r="D412" i="11" s="1"/>
  <c r="B411" i="11"/>
  <c r="D411" i="11" s="1"/>
  <c r="E410" i="11"/>
  <c r="B410" i="11"/>
  <c r="D410" i="11" s="1"/>
  <c r="E409" i="11"/>
  <c r="B409" i="11"/>
  <c r="D409" i="11" s="1"/>
  <c r="B404" i="11"/>
  <c r="D404" i="11" s="1"/>
  <c r="B403" i="11"/>
  <c r="D403" i="11" s="1"/>
  <c r="E402" i="11"/>
  <c r="B402" i="11"/>
  <c r="D402" i="11" s="1"/>
  <c r="E401" i="11"/>
  <c r="B401" i="11"/>
  <c r="D401" i="11" s="1"/>
  <c r="B396" i="11"/>
  <c r="D396" i="11" s="1"/>
  <c r="B395" i="11"/>
  <c r="D395" i="11" s="1"/>
  <c r="B394" i="11"/>
  <c r="D394" i="11" s="1"/>
  <c r="B393" i="11"/>
  <c r="D393" i="11" s="1"/>
  <c r="E392" i="11"/>
  <c r="B392" i="11"/>
  <c r="D392" i="11" s="1"/>
  <c r="E391" i="11"/>
  <c r="B391" i="11"/>
  <c r="D391" i="11" s="1"/>
  <c r="B386" i="11"/>
  <c r="D386" i="11" s="1"/>
  <c r="B385" i="11"/>
  <c r="D385" i="11" s="1"/>
  <c r="B384" i="11"/>
  <c r="D384" i="11" s="1"/>
  <c r="B383" i="11"/>
  <c r="D383" i="11" s="1"/>
  <c r="E382" i="11"/>
  <c r="D382" i="11"/>
  <c r="B382" i="11"/>
  <c r="E381" i="11"/>
  <c r="B376" i="11"/>
  <c r="D376" i="11" s="1"/>
  <c r="B375" i="11"/>
  <c r="D375" i="11" s="1"/>
  <c r="B374" i="11"/>
  <c r="D374" i="11" s="1"/>
  <c r="B373" i="11"/>
  <c r="D373" i="11" s="1"/>
  <c r="E372" i="11"/>
  <c r="B372" i="11"/>
  <c r="D372" i="11" s="1"/>
  <c r="E371" i="11"/>
  <c r="B365" i="11"/>
  <c r="D365" i="11" s="1"/>
  <c r="B364" i="11"/>
  <c r="D364" i="11" s="1"/>
  <c r="B363" i="11"/>
  <c r="D363" i="11" s="1"/>
  <c r="E362" i="11"/>
  <c r="B362" i="11"/>
  <c r="D362" i="11" s="1"/>
  <c r="E361" i="11"/>
  <c r="B361" i="11"/>
  <c r="D361" i="11" s="1"/>
  <c r="B355" i="11"/>
  <c r="D355" i="11" s="1"/>
  <c r="B354" i="11"/>
  <c r="D354" i="11" s="1"/>
  <c r="B353" i="11"/>
  <c r="D353" i="11" s="1"/>
  <c r="E352" i="11"/>
  <c r="B352" i="11"/>
  <c r="D352" i="11" s="1"/>
  <c r="E351" i="11"/>
  <c r="B351" i="11"/>
  <c r="D351" i="11" s="1"/>
  <c r="B345" i="11"/>
  <c r="D345" i="11" s="1"/>
  <c r="B344" i="11"/>
  <c r="D344" i="11" s="1"/>
  <c r="B343" i="11"/>
  <c r="D343" i="11" s="1"/>
  <c r="E342" i="11"/>
  <c r="E341" i="11"/>
  <c r="B341" i="11"/>
  <c r="D341" i="11" s="1"/>
  <c r="B334" i="11"/>
  <c r="D334" i="11" s="1"/>
  <c r="B333" i="11"/>
  <c r="D333" i="11" s="1"/>
  <c r="B332" i="11"/>
  <c r="D332" i="11" s="1"/>
  <c r="E331" i="11"/>
  <c r="B331" i="11"/>
  <c r="D331" i="11" s="1"/>
  <c r="E330" i="11"/>
  <c r="B323" i="11"/>
  <c r="D323" i="11" s="1"/>
  <c r="E322" i="11"/>
  <c r="B322" i="11"/>
  <c r="D322" i="11" s="1"/>
  <c r="E321" i="11"/>
  <c r="D321" i="11"/>
  <c r="B321" i="11"/>
  <c r="B313" i="11"/>
  <c r="D313" i="11" s="1"/>
  <c r="E312" i="11"/>
  <c r="B312" i="11"/>
  <c r="D312" i="11" s="1"/>
  <c r="E311" i="11"/>
  <c r="B311" i="11"/>
  <c r="D311" i="11" s="1"/>
  <c r="B305" i="11"/>
  <c r="D305" i="11" s="1"/>
  <c r="B304" i="11"/>
  <c r="D304" i="11" s="1"/>
  <c r="B303" i="11"/>
  <c r="D303" i="11" s="1"/>
  <c r="E302" i="11"/>
  <c r="B302" i="11"/>
  <c r="D302" i="11" s="1"/>
  <c r="E301" i="11"/>
  <c r="B301" i="11"/>
  <c r="D301" i="11" s="1"/>
  <c r="B295" i="11"/>
  <c r="D295" i="11" s="1"/>
  <c r="B294" i="11"/>
  <c r="D294" i="11" s="1"/>
  <c r="B293" i="11"/>
  <c r="D293" i="11" s="1"/>
  <c r="E292" i="11"/>
  <c r="B292" i="11"/>
  <c r="D292" i="11" s="1"/>
  <c r="E291" i="11"/>
  <c r="B291" i="11"/>
  <c r="D291" i="11" s="1"/>
  <c r="B284" i="11"/>
  <c r="D284" i="11" s="1"/>
  <c r="B283" i="11"/>
  <c r="D283" i="11" s="1"/>
  <c r="E282" i="11"/>
  <c r="B282" i="11"/>
  <c r="D282" i="11" s="1"/>
  <c r="E281" i="11"/>
  <c r="D281" i="11"/>
  <c r="B281" i="11"/>
  <c r="B275" i="11"/>
  <c r="D275" i="11" s="1"/>
  <c r="B274" i="11"/>
  <c r="D274" i="11" s="1"/>
  <c r="B273" i="11"/>
  <c r="D273" i="11" s="1"/>
  <c r="E272" i="11"/>
  <c r="B272" i="11"/>
  <c r="D272" i="11" s="1"/>
  <c r="E271" i="11"/>
  <c r="B271" i="11"/>
  <c r="D271" i="11" s="1"/>
  <c r="B265" i="11"/>
  <c r="D265" i="11" s="1"/>
  <c r="B264" i="11"/>
  <c r="D264" i="11" s="1"/>
  <c r="B263" i="11"/>
  <c r="D263" i="11" s="1"/>
  <c r="E262" i="11"/>
  <c r="B262" i="11"/>
  <c r="D262" i="11" s="1"/>
  <c r="E261" i="11"/>
  <c r="B261" i="11"/>
  <c r="D261" i="11" s="1"/>
  <c r="B255" i="11"/>
  <c r="D255" i="11" s="1"/>
  <c r="B254" i="11"/>
  <c r="D254" i="11" s="1"/>
  <c r="E253" i="11"/>
  <c r="B253" i="11"/>
  <c r="D253" i="11" s="1"/>
  <c r="E252" i="11"/>
  <c r="B252" i="11"/>
  <c r="D252" i="11" s="1"/>
  <c r="D245" i="11"/>
  <c r="B245" i="11"/>
  <c r="B244" i="11"/>
  <c r="D244" i="11" s="1"/>
  <c r="E243" i="11"/>
  <c r="B243" i="11"/>
  <c r="D243" i="11" s="1"/>
  <c r="E242" i="11"/>
  <c r="B242" i="11"/>
  <c r="D242" i="11" s="1"/>
  <c r="B235" i="11"/>
  <c r="D235" i="11" s="1"/>
  <c r="B234" i="11"/>
  <c r="D234" i="11" s="1"/>
  <c r="E233" i="11"/>
  <c r="B233" i="11"/>
  <c r="D233" i="11" s="1"/>
  <c r="E232" i="11"/>
  <c r="B232" i="11"/>
  <c r="D232" i="11" s="1"/>
  <c r="B226" i="11"/>
  <c r="D226" i="11" s="1"/>
  <c r="B225" i="11"/>
  <c r="D225" i="11" s="1"/>
  <c r="B224" i="11"/>
  <c r="D224" i="11" s="1"/>
  <c r="B223" i="11"/>
  <c r="D223" i="11" s="1"/>
  <c r="E222" i="11"/>
  <c r="B222" i="11"/>
  <c r="D222" i="11" s="1"/>
  <c r="B216" i="11"/>
  <c r="D216" i="11" s="1"/>
  <c r="D215" i="11"/>
  <c r="B215" i="11"/>
  <c r="B214" i="11"/>
  <c r="D214" i="11" s="1"/>
  <c r="B213" i="11"/>
  <c r="D213" i="11" s="1"/>
  <c r="E212" i="11"/>
  <c r="B212" i="11"/>
  <c r="D212" i="11" s="1"/>
  <c r="B206" i="11"/>
  <c r="D206" i="11" s="1"/>
  <c r="B205" i="11"/>
  <c r="D205" i="11" s="1"/>
  <c r="B204" i="11"/>
  <c r="D204" i="11" s="1"/>
  <c r="E203" i="11"/>
  <c r="B203" i="11"/>
  <c r="D203" i="11" s="1"/>
  <c r="E202" i="11"/>
  <c r="B202" i="11"/>
  <c r="D202" i="11" s="1"/>
  <c r="B196" i="11"/>
  <c r="D196" i="11" s="1"/>
  <c r="B195" i="11"/>
  <c r="D195" i="11" s="1"/>
  <c r="B194" i="11"/>
  <c r="D194" i="11" s="1"/>
  <c r="E193" i="11"/>
  <c r="B193" i="11"/>
  <c r="D193" i="11" s="1"/>
  <c r="E192" i="11"/>
  <c r="B192" i="11"/>
  <c r="D192" i="11" s="1"/>
  <c r="B186" i="11"/>
  <c r="D186" i="11" s="1"/>
  <c r="B185" i="11"/>
  <c r="D185" i="11" s="1"/>
  <c r="D184" i="11"/>
  <c r="B184" i="11"/>
  <c r="E183" i="11"/>
  <c r="B183" i="11"/>
  <c r="D183" i="11" s="1"/>
  <c r="E182" i="11"/>
  <c r="B182" i="11"/>
  <c r="D182" i="11" s="1"/>
  <c r="B175" i="11"/>
  <c r="D175" i="11" s="1"/>
  <c r="B174" i="11"/>
  <c r="D174" i="11" s="1"/>
  <c r="E173" i="11"/>
  <c r="B173" i="11"/>
  <c r="D173" i="11" s="1"/>
  <c r="E172" i="11"/>
  <c r="B172" i="11"/>
  <c r="D172" i="11" s="1"/>
  <c r="B165" i="11"/>
  <c r="D165" i="11" s="1"/>
  <c r="B164" i="11"/>
  <c r="D164" i="11" s="1"/>
  <c r="E163" i="11"/>
  <c r="B163" i="11"/>
  <c r="D163" i="11" s="1"/>
  <c r="E162" i="11"/>
  <c r="B162" i="11"/>
  <c r="D162" i="11" s="1"/>
  <c r="B156" i="11"/>
  <c r="D156" i="11" s="1"/>
  <c r="B155" i="11"/>
  <c r="D155" i="11" s="1"/>
  <c r="E154" i="11"/>
  <c r="B154" i="11"/>
  <c r="D154" i="11" s="1"/>
  <c r="E153" i="11"/>
  <c r="B153" i="11"/>
  <c r="D153" i="11" s="1"/>
  <c r="B147" i="11"/>
  <c r="D147" i="11" s="1"/>
  <c r="B146" i="11"/>
  <c r="D146" i="11" s="1"/>
  <c r="B145" i="11"/>
  <c r="D145" i="11" s="1"/>
  <c r="B144" i="11"/>
  <c r="D144" i="11" s="1"/>
  <c r="E143" i="11"/>
  <c r="B143" i="11"/>
  <c r="D143" i="11" s="1"/>
  <c r="B137" i="11"/>
  <c r="D137" i="11" s="1"/>
  <c r="B136" i="11"/>
  <c r="D136" i="11" s="1"/>
  <c r="B135" i="11"/>
  <c r="D135" i="11" s="1"/>
  <c r="B134" i="11"/>
  <c r="D134" i="11" s="1"/>
  <c r="E133" i="11"/>
  <c r="B133" i="11"/>
  <c r="D133" i="11" s="1"/>
  <c r="B127" i="11"/>
  <c r="D127" i="11" s="1"/>
  <c r="B126" i="11"/>
  <c r="D126" i="11" s="1"/>
  <c r="B125" i="11"/>
  <c r="D125" i="11" s="1"/>
  <c r="B124" i="11"/>
  <c r="D124" i="11" s="1"/>
  <c r="E123" i="11"/>
  <c r="D123" i="11"/>
  <c r="B123" i="11"/>
  <c r="B117" i="11"/>
  <c r="D117" i="11" s="1"/>
  <c r="B116" i="11"/>
  <c r="D116" i="11" s="1"/>
  <c r="D115" i="11"/>
  <c r="B115" i="11"/>
  <c r="B114" i="11"/>
  <c r="D114" i="11" s="1"/>
  <c r="E113" i="11"/>
  <c r="B113" i="11"/>
  <c r="D113" i="11" s="1"/>
  <c r="B107" i="11"/>
  <c r="D107" i="11" s="1"/>
  <c r="B106" i="11"/>
  <c r="D106" i="11" s="1"/>
  <c r="B105" i="11"/>
  <c r="D105" i="11" s="1"/>
  <c r="E104" i="11"/>
  <c r="B104" i="11"/>
  <c r="D104" i="11" s="1"/>
  <c r="E103" i="11"/>
  <c r="B103" i="11"/>
  <c r="D103" i="11" s="1"/>
  <c r="B97" i="11"/>
  <c r="D97" i="11" s="1"/>
  <c r="B96" i="11"/>
  <c r="D96" i="11" s="1"/>
  <c r="B95" i="11"/>
  <c r="D95" i="11" s="1"/>
  <c r="E94" i="11"/>
  <c r="B94" i="11"/>
  <c r="D94" i="11" s="1"/>
  <c r="E93" i="11"/>
  <c r="B93" i="11"/>
  <c r="D93" i="11" s="1"/>
  <c r="B87" i="11"/>
  <c r="D87" i="11" s="1"/>
  <c r="B86" i="11"/>
  <c r="D86" i="11" s="1"/>
  <c r="B85" i="11"/>
  <c r="D85" i="11" s="1"/>
  <c r="B84" i="11"/>
  <c r="D84" i="11" s="1"/>
  <c r="E83" i="11"/>
  <c r="B77" i="11"/>
  <c r="D77" i="11" s="1"/>
  <c r="B76" i="11"/>
  <c r="D76" i="11" s="1"/>
  <c r="B75" i="11"/>
  <c r="D75" i="11" s="1"/>
  <c r="B74" i="11"/>
  <c r="D74" i="11" s="1"/>
  <c r="E73" i="11"/>
  <c r="B73" i="11"/>
  <c r="D73" i="11" s="1"/>
  <c r="B67" i="11"/>
  <c r="D67" i="11" s="1"/>
  <c r="B66" i="11"/>
  <c r="D66" i="11" s="1"/>
  <c r="B65" i="11"/>
  <c r="D65" i="11" s="1"/>
  <c r="B64" i="11"/>
  <c r="D64" i="11" s="1"/>
  <c r="E63" i="11"/>
  <c r="B57" i="11"/>
  <c r="D57" i="11" s="1"/>
  <c r="B56" i="11"/>
  <c r="D56" i="11" s="1"/>
  <c r="B55" i="11"/>
  <c r="D55" i="11" s="1"/>
  <c r="E54" i="11"/>
  <c r="B54" i="11"/>
  <c r="D54" i="11" s="1"/>
  <c r="E53" i="11"/>
  <c r="B53" i="11"/>
  <c r="D53" i="11" s="1"/>
  <c r="B47" i="11"/>
  <c r="D47" i="11" s="1"/>
  <c r="B46" i="11"/>
  <c r="D46" i="11" s="1"/>
  <c r="B45" i="11"/>
  <c r="D45" i="11" s="1"/>
  <c r="E44" i="11"/>
  <c r="B44" i="11"/>
  <c r="D44" i="11" s="1"/>
  <c r="E43" i="11"/>
  <c r="B43" i="11"/>
  <c r="D43" i="11" s="1"/>
  <c r="B37" i="11"/>
  <c r="D37" i="11" s="1"/>
  <c r="B36" i="11"/>
  <c r="D36" i="11" s="1"/>
  <c r="B35" i="11"/>
  <c r="D35" i="11" s="1"/>
  <c r="B34" i="11"/>
  <c r="D34" i="11" s="1"/>
  <c r="E33" i="11"/>
  <c r="B33" i="11"/>
  <c r="D33" i="11" s="1"/>
  <c r="B27" i="11"/>
  <c r="D27" i="11" s="1"/>
  <c r="B26" i="11"/>
  <c r="D26" i="11" s="1"/>
  <c r="B25" i="11"/>
  <c r="D25" i="11" s="1"/>
  <c r="B24" i="11"/>
  <c r="D24" i="11" s="1"/>
  <c r="E23" i="11"/>
  <c r="B23" i="11"/>
  <c r="D23" i="11" s="1"/>
  <c r="B17" i="11"/>
  <c r="D17" i="11" s="1"/>
  <c r="B16" i="11"/>
  <c r="D16" i="11" s="1"/>
  <c r="B15" i="11"/>
  <c r="D15" i="11" s="1"/>
  <c r="E14" i="11"/>
  <c r="B14" i="11"/>
  <c r="D14" i="11" s="1"/>
  <c r="E13" i="11"/>
  <c r="B13" i="11"/>
  <c r="D13" i="11" s="1"/>
  <c r="B7" i="11"/>
  <c r="D7" i="11" s="1"/>
  <c r="B6" i="11"/>
  <c r="D6" i="11" s="1"/>
  <c r="B5" i="11"/>
  <c r="D5" i="11" s="1"/>
  <c r="E4" i="11"/>
  <c r="B4" i="11"/>
  <c r="D4" i="11" s="1"/>
  <c r="E3" i="11"/>
  <c r="B3" i="11"/>
  <c r="D3" i="11" s="1"/>
  <c r="B165" i="10"/>
  <c r="D165" i="10" s="1"/>
  <c r="E164" i="10"/>
  <c r="E166" i="10" s="1"/>
  <c r="B164" i="10"/>
  <c r="D164" i="10" s="1"/>
  <c r="B159" i="10"/>
  <c r="D159" i="10" s="1"/>
  <c r="B158" i="10"/>
  <c r="D158" i="10" s="1"/>
  <c r="B153" i="10"/>
  <c r="D153" i="10" s="1"/>
  <c r="B152" i="10"/>
  <c r="D152" i="10" s="1"/>
  <c r="B147" i="10"/>
  <c r="D147" i="10" s="1"/>
  <c r="B146" i="10"/>
  <c r="D146" i="10" s="1"/>
  <c r="B141" i="10"/>
  <c r="D141" i="10" s="1"/>
  <c r="B140" i="10"/>
  <c r="D140" i="10" s="1"/>
  <c r="B135" i="10"/>
  <c r="D135" i="10" s="1"/>
  <c r="E134" i="10"/>
  <c r="E136" i="10" s="1"/>
  <c r="B134" i="10"/>
  <c r="D134" i="10" s="1"/>
  <c r="B129" i="10"/>
  <c r="D129" i="10" s="1"/>
  <c r="E128" i="10"/>
  <c r="E130" i="10" s="1"/>
  <c r="B128" i="10"/>
  <c r="D128" i="10" s="1"/>
  <c r="B123" i="10"/>
  <c r="D123" i="10" s="1"/>
  <c r="B122" i="10"/>
  <c r="D122" i="10" s="1"/>
  <c r="B117" i="10"/>
  <c r="D117" i="10" s="1"/>
  <c r="E116" i="10"/>
  <c r="E118" i="10" s="1"/>
  <c r="B116" i="10"/>
  <c r="D116" i="10" s="1"/>
  <c r="B111" i="10"/>
  <c r="D111" i="10" s="1"/>
  <c r="B110" i="10"/>
  <c r="D110" i="10" s="1"/>
  <c r="B105" i="10"/>
  <c r="D105" i="10" s="1"/>
  <c r="E104" i="10"/>
  <c r="E106" i="10" s="1"/>
  <c r="B104" i="10"/>
  <c r="D104" i="10" s="1"/>
  <c r="B99" i="10"/>
  <c r="D99" i="10" s="1"/>
  <c r="B98" i="10"/>
  <c r="D98" i="10" s="1"/>
  <c r="B93" i="10"/>
  <c r="D93" i="10" s="1"/>
  <c r="E92" i="10"/>
  <c r="E94" i="10" s="1"/>
  <c r="B92" i="10"/>
  <c r="D92" i="10" s="1"/>
  <c r="B87" i="10"/>
  <c r="D87" i="10" s="1"/>
  <c r="B86" i="10"/>
  <c r="D86" i="10" s="1"/>
  <c r="B81" i="10"/>
  <c r="D81" i="10" s="1"/>
  <c r="E80" i="10"/>
  <c r="E82" i="10" s="1"/>
  <c r="B80" i="10"/>
  <c r="D80" i="10" s="1"/>
  <c r="B75" i="10"/>
  <c r="D75" i="10" s="1"/>
  <c r="B74" i="10"/>
  <c r="D74" i="10" s="1"/>
  <c r="D69" i="10"/>
  <c r="B69" i="10"/>
  <c r="E68" i="10"/>
  <c r="E70" i="10" s="1"/>
  <c r="B68" i="10"/>
  <c r="D68" i="10" s="1"/>
  <c r="B63" i="10"/>
  <c r="D63" i="10" s="1"/>
  <c r="E62" i="10"/>
  <c r="E64" i="10" s="1"/>
  <c r="B62" i="10"/>
  <c r="D62" i="10" s="1"/>
  <c r="B57" i="10"/>
  <c r="D57" i="10" s="1"/>
  <c r="E56" i="10"/>
  <c r="E58" i="10" s="1"/>
  <c r="B56" i="10"/>
  <c r="D56" i="10" s="1"/>
  <c r="B51" i="10"/>
  <c r="D51" i="10" s="1"/>
  <c r="B50" i="10"/>
  <c r="D50" i="10" s="1"/>
  <c r="B45" i="10"/>
  <c r="D45" i="10" s="1"/>
  <c r="B44" i="10"/>
  <c r="D44" i="10" s="1"/>
  <c r="D46" i="10" s="1"/>
  <c r="B38" i="10"/>
  <c r="D38" i="10" s="1"/>
  <c r="E37" i="10"/>
  <c r="E39" i="10" s="1"/>
  <c r="K28" i="4" s="1"/>
  <c r="B37" i="10"/>
  <c r="D37" i="10" s="1"/>
  <c r="B31" i="10"/>
  <c r="D31" i="10" s="1"/>
  <c r="B30" i="10"/>
  <c r="D30" i="10" s="1"/>
  <c r="B24" i="10"/>
  <c r="D24" i="10" s="1"/>
  <c r="B23" i="10"/>
  <c r="D23" i="10" s="1"/>
  <c r="B17" i="10"/>
  <c r="D17" i="10" s="1"/>
  <c r="B16" i="10"/>
  <c r="D16" i="10" s="1"/>
  <c r="B11" i="10"/>
  <c r="D11" i="10" s="1"/>
  <c r="B10" i="10"/>
  <c r="D10" i="10" s="1"/>
  <c r="B4" i="10"/>
  <c r="D4" i="10" s="1"/>
  <c r="E3" i="10"/>
  <c r="E5" i="10" s="1"/>
  <c r="D55" i="6" s="1"/>
  <c r="B3" i="10"/>
  <c r="D3" i="10" s="1"/>
  <c r="B397" i="9"/>
  <c r="D397" i="9" s="1"/>
  <c r="B396" i="9"/>
  <c r="D396" i="9" s="1"/>
  <c r="E395" i="9"/>
  <c r="D395" i="9"/>
  <c r="B395" i="9"/>
  <c r="B390" i="9"/>
  <c r="D390" i="9" s="1"/>
  <c r="B389" i="9"/>
  <c r="D389" i="9" s="1"/>
  <c r="E388" i="9"/>
  <c r="B388" i="9"/>
  <c r="D388" i="9" s="1"/>
  <c r="B383" i="9"/>
  <c r="D383" i="9" s="1"/>
  <c r="B382" i="9"/>
  <c r="D382" i="9" s="1"/>
  <c r="E381" i="9"/>
  <c r="B381" i="9"/>
  <c r="D381" i="9" s="1"/>
  <c r="B376" i="9"/>
  <c r="D376" i="9" s="1"/>
  <c r="B375" i="9"/>
  <c r="D375" i="9" s="1"/>
  <c r="E374" i="9"/>
  <c r="B374" i="9"/>
  <c r="D374" i="9" s="1"/>
  <c r="B369" i="9"/>
  <c r="D369" i="9" s="1"/>
  <c r="E368" i="9"/>
  <c r="B368" i="9"/>
  <c r="D368" i="9" s="1"/>
  <c r="E367" i="9"/>
  <c r="B367" i="9"/>
  <c r="D367" i="9" s="1"/>
  <c r="B362" i="9"/>
  <c r="D362" i="9" s="1"/>
  <c r="B361" i="9"/>
  <c r="D361" i="9" s="1"/>
  <c r="E360" i="9"/>
  <c r="B360" i="9"/>
  <c r="D360" i="9" s="1"/>
  <c r="B355" i="9"/>
  <c r="D355" i="9" s="1"/>
  <c r="B354" i="9"/>
  <c r="D354" i="9" s="1"/>
  <c r="E353" i="9"/>
  <c r="D353" i="9"/>
  <c r="B353" i="9"/>
  <c r="B348" i="9"/>
  <c r="D348" i="9" s="1"/>
  <c r="E347" i="9"/>
  <c r="B347" i="9"/>
  <c r="D347" i="9" s="1"/>
  <c r="E346" i="9"/>
  <c r="B346" i="9"/>
  <c r="D346" i="9" s="1"/>
  <c r="B341" i="9"/>
  <c r="D341" i="9" s="1"/>
  <c r="B340" i="9"/>
  <c r="D340" i="9" s="1"/>
  <c r="E339" i="9"/>
  <c r="B339" i="9"/>
  <c r="D339" i="9" s="1"/>
  <c r="B334" i="9"/>
  <c r="D334" i="9" s="1"/>
  <c r="B333" i="9"/>
  <c r="D333" i="9" s="1"/>
  <c r="E332" i="9"/>
  <c r="B332" i="9"/>
  <c r="D332" i="9" s="1"/>
  <c r="B327" i="9"/>
  <c r="D327" i="9" s="1"/>
  <c r="B326" i="9"/>
  <c r="D326" i="9" s="1"/>
  <c r="E325" i="9"/>
  <c r="B325" i="9"/>
  <c r="D325" i="9" s="1"/>
  <c r="B319" i="9"/>
  <c r="D319" i="9" s="1"/>
  <c r="E318" i="9"/>
  <c r="B313" i="9"/>
  <c r="E312" i="9"/>
  <c r="B312" i="9"/>
  <c r="D312" i="9" s="1"/>
  <c r="E311" i="9"/>
  <c r="B311" i="9"/>
  <c r="D311" i="9" s="1"/>
  <c r="B306" i="9"/>
  <c r="D306" i="9" s="1"/>
  <c r="B305" i="9"/>
  <c r="D305" i="9" s="1"/>
  <c r="E304" i="9"/>
  <c r="B304" i="9"/>
  <c r="D304" i="9" s="1"/>
  <c r="B299" i="9"/>
  <c r="D299" i="9" s="1"/>
  <c r="E298" i="9"/>
  <c r="B298" i="9"/>
  <c r="D298" i="9" s="1"/>
  <c r="E297" i="9"/>
  <c r="E300" i="9" s="1"/>
  <c r="B297" i="9"/>
  <c r="D297" i="9" s="1"/>
  <c r="B292" i="9"/>
  <c r="D292" i="9" s="1"/>
  <c r="E291" i="9"/>
  <c r="B291" i="9"/>
  <c r="D291" i="9" s="1"/>
  <c r="E290" i="9"/>
  <c r="B290" i="9"/>
  <c r="D290" i="9" s="1"/>
  <c r="B285" i="9"/>
  <c r="D285" i="9" s="1"/>
  <c r="B284" i="9"/>
  <c r="D284" i="9" s="1"/>
  <c r="E283" i="9"/>
  <c r="B283" i="9"/>
  <c r="D283" i="9" s="1"/>
  <c r="B278" i="9"/>
  <c r="D278" i="9" s="1"/>
  <c r="E277" i="9"/>
  <c r="B277" i="9"/>
  <c r="D277" i="9" s="1"/>
  <c r="E276" i="9"/>
  <c r="B276" i="9"/>
  <c r="D276" i="9" s="1"/>
  <c r="B271" i="9"/>
  <c r="D271" i="9" s="1"/>
  <c r="E270" i="9"/>
  <c r="B270" i="9"/>
  <c r="D270" i="9" s="1"/>
  <c r="E269" i="9"/>
  <c r="B269" i="9"/>
  <c r="D269" i="9" s="1"/>
  <c r="B264" i="9"/>
  <c r="D264" i="9" s="1"/>
  <c r="E263" i="9"/>
  <c r="B263" i="9"/>
  <c r="D263" i="9" s="1"/>
  <c r="E262" i="9"/>
  <c r="E265" i="9" s="1"/>
  <c r="B262" i="9"/>
  <c r="D262" i="9" s="1"/>
  <c r="B257" i="9"/>
  <c r="D257" i="9" s="1"/>
  <c r="B256" i="9"/>
  <c r="D256" i="9" s="1"/>
  <c r="E255" i="9"/>
  <c r="B255" i="9"/>
  <c r="D255" i="9" s="1"/>
  <c r="B250" i="9"/>
  <c r="D250" i="9" s="1"/>
  <c r="E249" i="9"/>
  <c r="B249" i="9"/>
  <c r="D249" i="9" s="1"/>
  <c r="E248" i="9"/>
  <c r="B248" i="9"/>
  <c r="D248" i="9" s="1"/>
  <c r="B243" i="9"/>
  <c r="D243" i="9" s="1"/>
  <c r="E242" i="9"/>
  <c r="B242" i="9"/>
  <c r="D242" i="9" s="1"/>
  <c r="E241" i="9"/>
  <c r="E244" i="9" s="1"/>
  <c r="B241" i="9"/>
  <c r="D241" i="9" s="1"/>
  <c r="B236" i="9"/>
  <c r="D236" i="9" s="1"/>
  <c r="E235" i="9"/>
  <c r="B235" i="9"/>
  <c r="D235" i="9" s="1"/>
  <c r="E234" i="9"/>
  <c r="B234" i="9"/>
  <c r="D234" i="9" s="1"/>
  <c r="B229" i="9"/>
  <c r="D229" i="9" s="1"/>
  <c r="E228" i="9"/>
  <c r="B228" i="9"/>
  <c r="D228" i="9" s="1"/>
  <c r="E227" i="9"/>
  <c r="B227" i="9"/>
  <c r="D227" i="9" s="1"/>
  <c r="D222" i="9"/>
  <c r="B222" i="9"/>
  <c r="B221" i="9"/>
  <c r="D221" i="9" s="1"/>
  <c r="E220" i="9"/>
  <c r="B220" i="9"/>
  <c r="D220" i="9" s="1"/>
  <c r="D223" i="9" s="1"/>
  <c r="B284" i="13" s="1"/>
  <c r="B215" i="9"/>
  <c r="D215" i="9" s="1"/>
  <c r="B214" i="9"/>
  <c r="D214" i="9" s="1"/>
  <c r="E213" i="9"/>
  <c r="B213" i="9"/>
  <c r="D213" i="9" s="1"/>
  <c r="B208" i="9"/>
  <c r="D208" i="9" s="1"/>
  <c r="E207" i="9"/>
  <c r="B207" i="9"/>
  <c r="D207" i="9" s="1"/>
  <c r="E206" i="9"/>
  <c r="B206" i="9"/>
  <c r="D206" i="9" s="1"/>
  <c r="B201" i="9"/>
  <c r="D201" i="9" s="1"/>
  <c r="B200" i="9"/>
  <c r="D200" i="9" s="1"/>
  <c r="E199" i="9"/>
  <c r="B199" i="9"/>
  <c r="D199" i="9" s="1"/>
  <c r="B194" i="9"/>
  <c r="D194" i="9" s="1"/>
  <c r="E193" i="9"/>
  <c r="B193" i="9"/>
  <c r="D193" i="9" s="1"/>
  <c r="E192" i="9"/>
  <c r="B192" i="9"/>
  <c r="D192" i="9" s="1"/>
  <c r="B187" i="9"/>
  <c r="D187" i="9" s="1"/>
  <c r="B186" i="9"/>
  <c r="D186" i="9" s="1"/>
  <c r="E185" i="9"/>
  <c r="B185" i="9"/>
  <c r="D185" i="9" s="1"/>
  <c r="B180" i="9"/>
  <c r="D180" i="9" s="1"/>
  <c r="E179" i="9"/>
  <c r="B179" i="9"/>
  <c r="D179" i="9" s="1"/>
  <c r="E178" i="9"/>
  <c r="B178" i="9"/>
  <c r="D178" i="9" s="1"/>
  <c r="B173" i="9"/>
  <c r="D173" i="9" s="1"/>
  <c r="B172" i="9"/>
  <c r="D172" i="9" s="1"/>
  <c r="E171" i="9"/>
  <c r="B166" i="9"/>
  <c r="D166" i="9" s="1"/>
  <c r="B165" i="9"/>
  <c r="D165" i="9" s="1"/>
  <c r="E164" i="9"/>
  <c r="B159" i="9"/>
  <c r="D159" i="9" s="1"/>
  <c r="E158" i="9"/>
  <c r="B158" i="9"/>
  <c r="D158" i="9" s="1"/>
  <c r="E157" i="9"/>
  <c r="B152" i="9"/>
  <c r="D152" i="9" s="1"/>
  <c r="B151" i="9"/>
  <c r="D151" i="9" s="1"/>
  <c r="E150" i="9"/>
  <c r="B150" i="9"/>
  <c r="D150" i="9" s="1"/>
  <c r="B145" i="9"/>
  <c r="D145" i="9" s="1"/>
  <c r="B144" i="9"/>
  <c r="D144" i="9" s="1"/>
  <c r="E143" i="9"/>
  <c r="B138" i="9"/>
  <c r="D138" i="9" s="1"/>
  <c r="E137" i="9"/>
  <c r="B137" i="9"/>
  <c r="D137" i="9" s="1"/>
  <c r="E136" i="9"/>
  <c r="B136" i="9"/>
  <c r="D136" i="9" s="1"/>
  <c r="B131" i="9"/>
  <c r="D131" i="9" s="1"/>
  <c r="E130" i="9"/>
  <c r="B130" i="9"/>
  <c r="D130" i="9" s="1"/>
  <c r="E129" i="9"/>
  <c r="B129" i="9"/>
  <c r="D129" i="9" s="1"/>
  <c r="B124" i="9"/>
  <c r="D124" i="9" s="1"/>
  <c r="B123" i="9"/>
  <c r="D123" i="9" s="1"/>
  <c r="B122" i="9"/>
  <c r="D122" i="9" s="1"/>
  <c r="B117" i="9"/>
  <c r="D117" i="9" s="1"/>
  <c r="E116" i="9"/>
  <c r="B116" i="9"/>
  <c r="D116" i="9" s="1"/>
  <c r="E115" i="9"/>
  <c r="B115" i="9"/>
  <c r="D115" i="9" s="1"/>
  <c r="B110" i="9"/>
  <c r="D110" i="9" s="1"/>
  <c r="E109" i="9"/>
  <c r="B109" i="9"/>
  <c r="D109" i="9" s="1"/>
  <c r="E108" i="9"/>
  <c r="B108" i="9"/>
  <c r="D108" i="9" s="1"/>
  <c r="B103" i="9"/>
  <c r="D103" i="9" s="1"/>
  <c r="E102" i="9"/>
  <c r="E104" i="9" s="1"/>
  <c r="B102" i="9"/>
  <c r="D102" i="9" s="1"/>
  <c r="E101" i="9"/>
  <c r="B101" i="9"/>
  <c r="D101" i="9" s="1"/>
  <c r="B96" i="9"/>
  <c r="D96" i="9" s="1"/>
  <c r="B95" i="9"/>
  <c r="D95" i="9" s="1"/>
  <c r="E94" i="9"/>
  <c r="B94" i="9"/>
  <c r="D94" i="9" s="1"/>
  <c r="B89" i="9"/>
  <c r="D89" i="9" s="1"/>
  <c r="B88" i="9"/>
  <c r="D88" i="9" s="1"/>
  <c r="E87" i="9"/>
  <c r="B87" i="9"/>
  <c r="D87" i="9" s="1"/>
  <c r="B82" i="9"/>
  <c r="D82" i="9" s="1"/>
  <c r="E81" i="9"/>
  <c r="B81" i="9"/>
  <c r="D81" i="9" s="1"/>
  <c r="E80" i="9"/>
  <c r="B80" i="9"/>
  <c r="D80" i="9" s="1"/>
  <c r="B75" i="9"/>
  <c r="D75" i="9" s="1"/>
  <c r="E74" i="9"/>
  <c r="B74" i="9"/>
  <c r="D74" i="9" s="1"/>
  <c r="E73" i="9"/>
  <c r="B73" i="9"/>
  <c r="D73" i="9" s="1"/>
  <c r="B68" i="9"/>
  <c r="D68" i="9" s="1"/>
  <c r="B67" i="9"/>
  <c r="D67" i="9" s="1"/>
  <c r="E66" i="9"/>
  <c r="B66" i="9"/>
  <c r="D66" i="9" s="1"/>
  <c r="B61" i="9"/>
  <c r="D61" i="9" s="1"/>
  <c r="E60" i="9"/>
  <c r="B60" i="9"/>
  <c r="D60" i="9" s="1"/>
  <c r="E59" i="9"/>
  <c r="B59" i="9"/>
  <c r="D59" i="9" s="1"/>
  <c r="B54" i="9"/>
  <c r="D54" i="9" s="1"/>
  <c r="E53" i="9"/>
  <c r="B53" i="9"/>
  <c r="D53" i="9" s="1"/>
  <c r="B47" i="9"/>
  <c r="D47" i="9" s="1"/>
  <c r="B46" i="9"/>
  <c r="D46" i="9" s="1"/>
  <c r="E45" i="9"/>
  <c r="B45" i="9"/>
  <c r="D45" i="9" s="1"/>
  <c r="B40" i="9"/>
  <c r="D40" i="9" s="1"/>
  <c r="B39" i="9"/>
  <c r="D39" i="9" s="1"/>
  <c r="E38" i="9"/>
  <c r="B38" i="9"/>
  <c r="D38" i="9" s="1"/>
  <c r="B33" i="9"/>
  <c r="D33" i="9" s="1"/>
  <c r="E32" i="9"/>
  <c r="B32" i="9"/>
  <c r="D32" i="9" s="1"/>
  <c r="E31" i="9"/>
  <c r="B31" i="9"/>
  <c r="D31" i="9" s="1"/>
  <c r="B26" i="9"/>
  <c r="D26" i="9" s="1"/>
  <c r="B25" i="9"/>
  <c r="D25" i="9" s="1"/>
  <c r="E24" i="9"/>
  <c r="B24" i="9"/>
  <c r="D24" i="9" s="1"/>
  <c r="B19" i="9"/>
  <c r="D19" i="9" s="1"/>
  <c r="B18" i="9"/>
  <c r="D18" i="9" s="1"/>
  <c r="E17" i="9"/>
  <c r="B17" i="9"/>
  <c r="D17" i="9" s="1"/>
  <c r="B12" i="9"/>
  <c r="D12" i="9" s="1"/>
  <c r="E11" i="9"/>
  <c r="B11" i="9"/>
  <c r="D11" i="9" s="1"/>
  <c r="E10" i="9"/>
  <c r="B10" i="9"/>
  <c r="D10" i="9" s="1"/>
  <c r="B5" i="9"/>
  <c r="D5" i="9" s="1"/>
  <c r="E4" i="9"/>
  <c r="B4" i="9"/>
  <c r="D4" i="9" s="1"/>
  <c r="E3" i="9"/>
  <c r="B3" i="9"/>
  <c r="D3" i="9" s="1"/>
  <c r="B391" i="8"/>
  <c r="D391" i="8" s="1"/>
  <c r="E390" i="8"/>
  <c r="E389" i="8"/>
  <c r="B389" i="8"/>
  <c r="D389" i="8" s="1"/>
  <c r="B384" i="8"/>
  <c r="D384" i="8" s="1"/>
  <c r="E383" i="8"/>
  <c r="B383" i="8"/>
  <c r="D383" i="8" s="1"/>
  <c r="E382" i="8"/>
  <c r="B382" i="8"/>
  <c r="D382" i="8" s="1"/>
  <c r="B377" i="8"/>
  <c r="D377" i="8" s="1"/>
  <c r="E376" i="8"/>
  <c r="B376" i="8"/>
  <c r="D376" i="8" s="1"/>
  <c r="E375" i="8"/>
  <c r="B375" i="8"/>
  <c r="D375" i="8" s="1"/>
  <c r="B370" i="8"/>
  <c r="D370" i="8" s="1"/>
  <c r="E369" i="8"/>
  <c r="B369" i="8"/>
  <c r="D369" i="8" s="1"/>
  <c r="E368" i="8"/>
  <c r="B363" i="8"/>
  <c r="D363" i="8" s="1"/>
  <c r="E362" i="8"/>
  <c r="B362" i="8"/>
  <c r="D362" i="8" s="1"/>
  <c r="E361" i="8"/>
  <c r="B361" i="8"/>
  <c r="D361" i="8" s="1"/>
  <c r="B356" i="8"/>
  <c r="D356" i="8" s="1"/>
  <c r="E355" i="8"/>
  <c r="B355" i="8"/>
  <c r="D355" i="8" s="1"/>
  <c r="E354" i="8"/>
  <c r="B354" i="8"/>
  <c r="D354" i="8" s="1"/>
  <c r="B349" i="8"/>
  <c r="D349" i="8" s="1"/>
  <c r="E348" i="8"/>
  <c r="B348" i="8"/>
  <c r="D348" i="8" s="1"/>
  <c r="E347" i="8"/>
  <c r="B347" i="8"/>
  <c r="D347" i="8" s="1"/>
  <c r="B342" i="8"/>
  <c r="D342" i="8" s="1"/>
  <c r="E341" i="8"/>
  <c r="B341" i="8"/>
  <c r="D341" i="8" s="1"/>
  <c r="E340" i="8"/>
  <c r="B340" i="8"/>
  <c r="D340" i="8" s="1"/>
  <c r="B335" i="8"/>
  <c r="D335" i="8" s="1"/>
  <c r="E334" i="8"/>
  <c r="B334" i="8"/>
  <c r="D334" i="8" s="1"/>
  <c r="E333" i="8"/>
  <c r="B333" i="8"/>
  <c r="D333" i="8" s="1"/>
  <c r="B328" i="8"/>
  <c r="D328" i="8" s="1"/>
  <c r="E327" i="8"/>
  <c r="B327" i="8"/>
  <c r="D327" i="8" s="1"/>
  <c r="E326" i="8"/>
  <c r="B326" i="8"/>
  <c r="D326" i="8" s="1"/>
  <c r="B321" i="8"/>
  <c r="D321" i="8" s="1"/>
  <c r="E320" i="8"/>
  <c r="B320" i="8"/>
  <c r="D320" i="8" s="1"/>
  <c r="E319" i="8"/>
  <c r="B319" i="8"/>
  <c r="D319" i="8" s="1"/>
  <c r="B314" i="8"/>
  <c r="D314" i="8" s="1"/>
  <c r="E313" i="8"/>
  <c r="E312" i="8"/>
  <c r="B312" i="8"/>
  <c r="D312" i="8" s="1"/>
  <c r="B307" i="8"/>
  <c r="D307" i="8" s="1"/>
  <c r="E306" i="8"/>
  <c r="B306" i="8"/>
  <c r="D306" i="8" s="1"/>
  <c r="E305" i="8"/>
  <c r="B305" i="8"/>
  <c r="D305" i="8" s="1"/>
  <c r="B300" i="8"/>
  <c r="D300" i="8" s="1"/>
  <c r="E299" i="8"/>
  <c r="D299" i="8"/>
  <c r="B299" i="8"/>
  <c r="E298" i="8"/>
  <c r="B298" i="8"/>
  <c r="D298" i="8" s="1"/>
  <c r="B293" i="8"/>
  <c r="D293" i="8" s="1"/>
  <c r="E292" i="8"/>
  <c r="B292" i="8"/>
  <c r="D292" i="8" s="1"/>
  <c r="E291" i="8"/>
  <c r="B291" i="8"/>
  <c r="D291" i="8" s="1"/>
  <c r="B286" i="8"/>
  <c r="D286" i="8" s="1"/>
  <c r="E285" i="8"/>
  <c r="B285" i="8"/>
  <c r="D285" i="8" s="1"/>
  <c r="E284" i="8"/>
  <c r="D284" i="8"/>
  <c r="B284" i="8"/>
  <c r="B279" i="8"/>
  <c r="D279" i="8" s="1"/>
  <c r="E278" i="8"/>
  <c r="B278" i="8"/>
  <c r="D278" i="8" s="1"/>
  <c r="E277" i="8"/>
  <c r="B277" i="8"/>
  <c r="D277" i="8" s="1"/>
  <c r="B272" i="8"/>
  <c r="D272" i="8" s="1"/>
  <c r="E271" i="8"/>
  <c r="B271" i="8"/>
  <c r="D271" i="8" s="1"/>
  <c r="E270" i="8"/>
  <c r="B270" i="8"/>
  <c r="D270" i="8" s="1"/>
  <c r="B265" i="8"/>
  <c r="D265" i="8" s="1"/>
  <c r="B264" i="8"/>
  <c r="D264" i="8" s="1"/>
  <c r="E263" i="8"/>
  <c r="B263" i="8"/>
  <c r="D263" i="8" s="1"/>
  <c r="B258" i="8"/>
  <c r="D258" i="8" s="1"/>
  <c r="E257" i="8"/>
  <c r="E256" i="8"/>
  <c r="B256" i="8"/>
  <c r="D256" i="8" s="1"/>
  <c r="B251" i="8"/>
  <c r="D251" i="8" s="1"/>
  <c r="E250" i="8"/>
  <c r="B250" i="8"/>
  <c r="D250" i="8" s="1"/>
  <c r="E249" i="8"/>
  <c r="B249" i="8"/>
  <c r="D249" i="8" s="1"/>
  <c r="B244" i="8"/>
  <c r="D244" i="8" s="1"/>
  <c r="E243" i="8"/>
  <c r="B243" i="8"/>
  <c r="D243" i="8" s="1"/>
  <c r="E242" i="8"/>
  <c r="B242" i="8"/>
  <c r="D242" i="8" s="1"/>
  <c r="B237" i="8"/>
  <c r="D237" i="8" s="1"/>
  <c r="E235" i="8"/>
  <c r="B230" i="8"/>
  <c r="D230" i="8" s="1"/>
  <c r="E229" i="8"/>
  <c r="B229" i="8"/>
  <c r="D229" i="8" s="1"/>
  <c r="E228" i="8"/>
  <c r="B228" i="8"/>
  <c r="D228" i="8" s="1"/>
  <c r="B223" i="8"/>
  <c r="D223" i="8" s="1"/>
  <c r="E222" i="8"/>
  <c r="E224" i="8" s="1"/>
  <c r="E221" i="8"/>
  <c r="B221" i="8"/>
  <c r="D221" i="8" s="1"/>
  <c r="B216" i="8"/>
  <c r="D216" i="8" s="1"/>
  <c r="B215" i="8"/>
  <c r="D215" i="8" s="1"/>
  <c r="E214" i="8"/>
  <c r="B214" i="8"/>
  <c r="D214" i="8" s="1"/>
  <c r="B209" i="8"/>
  <c r="D209" i="8" s="1"/>
  <c r="E208" i="8"/>
  <c r="B208" i="8"/>
  <c r="D208" i="8" s="1"/>
  <c r="E207" i="8"/>
  <c r="B207" i="8"/>
  <c r="D207" i="8" s="1"/>
  <c r="B202" i="8"/>
  <c r="D202" i="8" s="1"/>
  <c r="E201" i="8"/>
  <c r="B201" i="8"/>
  <c r="D201" i="8" s="1"/>
  <c r="E200" i="8"/>
  <c r="B200" i="8"/>
  <c r="D200" i="8" s="1"/>
  <c r="B195" i="8"/>
  <c r="D195" i="8" s="1"/>
  <c r="E194" i="8"/>
  <c r="B194" i="8"/>
  <c r="D194" i="8" s="1"/>
  <c r="E193" i="8"/>
  <c r="B193" i="8"/>
  <c r="D193" i="8" s="1"/>
  <c r="B188" i="8"/>
  <c r="D188" i="8" s="1"/>
  <c r="E187" i="8"/>
  <c r="B187" i="8"/>
  <c r="D187" i="8" s="1"/>
  <c r="E186" i="8"/>
  <c r="B186" i="8"/>
  <c r="D186" i="8" s="1"/>
  <c r="B181" i="8"/>
  <c r="D181" i="8" s="1"/>
  <c r="E180" i="8"/>
  <c r="E179" i="8"/>
  <c r="B179" i="8"/>
  <c r="D179" i="8" s="1"/>
  <c r="B174" i="8"/>
  <c r="D174" i="8" s="1"/>
  <c r="E173" i="8"/>
  <c r="B173" i="8"/>
  <c r="D173" i="8" s="1"/>
  <c r="E172" i="8"/>
  <c r="B167" i="8"/>
  <c r="D167" i="8" s="1"/>
  <c r="E165" i="8"/>
  <c r="B165" i="8"/>
  <c r="D165" i="8" s="1"/>
  <c r="B160" i="8"/>
  <c r="D160" i="8" s="1"/>
  <c r="E159" i="8"/>
  <c r="B159" i="8"/>
  <c r="D159" i="8" s="1"/>
  <c r="E158" i="8"/>
  <c r="B158" i="8"/>
  <c r="D158" i="8" s="1"/>
  <c r="B153" i="8"/>
  <c r="D153" i="8" s="1"/>
  <c r="E152" i="8"/>
  <c r="B152" i="8"/>
  <c r="D152" i="8" s="1"/>
  <c r="E151" i="8"/>
  <c r="B151" i="8"/>
  <c r="D151" i="8" s="1"/>
  <c r="B146" i="8"/>
  <c r="D146" i="8" s="1"/>
  <c r="B145" i="8"/>
  <c r="D145" i="8" s="1"/>
  <c r="E144" i="8"/>
  <c r="B144" i="8"/>
  <c r="D144" i="8" s="1"/>
  <c r="D139" i="8"/>
  <c r="B139" i="8"/>
  <c r="E137" i="8"/>
  <c r="B132" i="8"/>
  <c r="D132" i="8" s="1"/>
  <c r="E131" i="8"/>
  <c r="B131" i="8"/>
  <c r="D131" i="8" s="1"/>
  <c r="E130" i="8"/>
  <c r="B130" i="8"/>
  <c r="D130" i="8" s="1"/>
  <c r="B125" i="8"/>
  <c r="D125" i="8" s="1"/>
  <c r="E124" i="8"/>
  <c r="B124" i="8"/>
  <c r="D124" i="8" s="1"/>
  <c r="E123" i="8"/>
  <c r="B123" i="8"/>
  <c r="D123" i="8" s="1"/>
  <c r="B118" i="8"/>
  <c r="D118" i="8" s="1"/>
  <c r="E117" i="8"/>
  <c r="B117" i="8"/>
  <c r="D117" i="8" s="1"/>
  <c r="E116" i="8"/>
  <c r="B116" i="8"/>
  <c r="D116" i="8" s="1"/>
  <c r="B111" i="8"/>
  <c r="D111" i="8" s="1"/>
  <c r="E110" i="8"/>
  <c r="E112" i="8" s="1"/>
  <c r="B110" i="8"/>
  <c r="D110" i="8" s="1"/>
  <c r="E109" i="8"/>
  <c r="B109" i="8"/>
  <c r="D109" i="8" s="1"/>
  <c r="B104" i="8"/>
  <c r="D104" i="8" s="1"/>
  <c r="E103" i="8"/>
  <c r="E102" i="8"/>
  <c r="B102" i="8"/>
  <c r="D102" i="8" s="1"/>
  <c r="B97" i="8"/>
  <c r="D97" i="8" s="1"/>
  <c r="E95" i="8"/>
  <c r="B90" i="8"/>
  <c r="D90" i="8" s="1"/>
  <c r="E88" i="8"/>
  <c r="B83" i="8"/>
  <c r="D83" i="8" s="1"/>
  <c r="E82" i="8"/>
  <c r="B82" i="8"/>
  <c r="D82" i="8" s="1"/>
  <c r="E81" i="8"/>
  <c r="B81" i="8"/>
  <c r="D81" i="8" s="1"/>
  <c r="B76" i="8"/>
  <c r="D76" i="8" s="1"/>
  <c r="E75" i="8"/>
  <c r="B75" i="8"/>
  <c r="D75" i="8" s="1"/>
  <c r="E74" i="8"/>
  <c r="B74" i="8"/>
  <c r="D74" i="8" s="1"/>
  <c r="B69" i="8"/>
  <c r="D69" i="8" s="1"/>
  <c r="E68" i="8"/>
  <c r="B68" i="8"/>
  <c r="D68" i="8" s="1"/>
  <c r="E67" i="8"/>
  <c r="B67" i="8"/>
  <c r="D67" i="8" s="1"/>
  <c r="B62" i="8"/>
  <c r="D62" i="8" s="1"/>
  <c r="E61" i="8"/>
  <c r="B61" i="8"/>
  <c r="D61" i="8" s="1"/>
  <c r="E60" i="8"/>
  <c r="B60" i="8"/>
  <c r="D60" i="8" s="1"/>
  <c r="B55" i="8"/>
  <c r="D55" i="8" s="1"/>
  <c r="E54" i="8"/>
  <c r="E53" i="8"/>
  <c r="B48" i="8"/>
  <c r="D48" i="8" s="1"/>
  <c r="E47" i="8"/>
  <c r="B47" i="8"/>
  <c r="D47" i="8" s="1"/>
  <c r="E46" i="8"/>
  <c r="B46" i="8"/>
  <c r="D46" i="8" s="1"/>
  <c r="D49" i="8" s="1"/>
  <c r="B426" i="13" s="1"/>
  <c r="B41" i="8"/>
  <c r="D41" i="8" s="1"/>
  <c r="E40" i="8"/>
  <c r="E39" i="8"/>
  <c r="B39" i="8"/>
  <c r="D39" i="8" s="1"/>
  <c r="B33" i="8"/>
  <c r="D33" i="8" s="1"/>
  <c r="E32" i="8"/>
  <c r="B32" i="8"/>
  <c r="D32" i="8" s="1"/>
  <c r="E31" i="8"/>
  <c r="B31" i="8"/>
  <c r="D31" i="8" s="1"/>
  <c r="B26" i="8"/>
  <c r="D26" i="8" s="1"/>
  <c r="E25" i="8"/>
  <c r="B25" i="8"/>
  <c r="D25" i="8" s="1"/>
  <c r="E24" i="8"/>
  <c r="B24" i="8"/>
  <c r="D24" i="8" s="1"/>
  <c r="B19" i="8"/>
  <c r="D19" i="8" s="1"/>
  <c r="E18" i="8"/>
  <c r="B18" i="8"/>
  <c r="D18" i="8" s="1"/>
  <c r="E17" i="8"/>
  <c r="B17" i="8"/>
  <c r="D17" i="8" s="1"/>
  <c r="B12" i="8"/>
  <c r="D12" i="8" s="1"/>
  <c r="E11" i="8"/>
  <c r="B11" i="8"/>
  <c r="D11" i="8" s="1"/>
  <c r="E10" i="8"/>
  <c r="B10" i="8"/>
  <c r="D10" i="8" s="1"/>
  <c r="B5" i="8"/>
  <c r="D5" i="8" s="1"/>
  <c r="E4" i="8"/>
  <c r="B4" i="8"/>
  <c r="D4" i="8" s="1"/>
  <c r="E3" i="8"/>
  <c r="B3" i="8"/>
  <c r="D3" i="8" s="1"/>
  <c r="B335" i="7"/>
  <c r="D335" i="7" s="1"/>
  <c r="E334" i="7"/>
  <c r="E336" i="7" s="1"/>
  <c r="B334" i="7"/>
  <c r="D334" i="7" s="1"/>
  <c r="B329" i="7"/>
  <c r="D329" i="7" s="1"/>
  <c r="E328" i="7"/>
  <c r="E330" i="7" s="1"/>
  <c r="B328" i="7"/>
  <c r="D328" i="7" s="1"/>
  <c r="B323" i="7"/>
  <c r="D323" i="7" s="1"/>
  <c r="E322" i="7"/>
  <c r="E324" i="7" s="1"/>
  <c r="B322" i="7"/>
  <c r="D322" i="7" s="1"/>
  <c r="D324" i="7" s="1"/>
  <c r="B336" i="13" s="1"/>
  <c r="B317" i="7"/>
  <c r="D317" i="7" s="1"/>
  <c r="E316" i="7"/>
  <c r="E318" i="7" s="1"/>
  <c r="B316" i="7"/>
  <c r="D316" i="7" s="1"/>
  <c r="B311" i="7"/>
  <c r="D311" i="7" s="1"/>
  <c r="E310" i="7"/>
  <c r="B310" i="7"/>
  <c r="D310" i="7" s="1"/>
  <c r="B309" i="7"/>
  <c r="D309" i="7" s="1"/>
  <c r="B304" i="7"/>
  <c r="D304" i="7" s="1"/>
  <c r="E303" i="7"/>
  <c r="B303" i="7"/>
  <c r="D303" i="7" s="1"/>
  <c r="E302" i="7"/>
  <c r="B302" i="7"/>
  <c r="D302" i="7" s="1"/>
  <c r="B297" i="7"/>
  <c r="D297" i="7" s="1"/>
  <c r="E296" i="7"/>
  <c r="E298" i="7" s="1"/>
  <c r="B296" i="7"/>
  <c r="D296" i="7" s="1"/>
  <c r="B291" i="7"/>
  <c r="D291" i="7" s="1"/>
  <c r="B290" i="7"/>
  <c r="D290" i="7" s="1"/>
  <c r="B285" i="7"/>
  <c r="D285" i="7" s="1"/>
  <c r="E284" i="7"/>
  <c r="E286" i="7" s="1"/>
  <c r="B284" i="7"/>
  <c r="D284" i="7" s="1"/>
  <c r="B279" i="7"/>
  <c r="D279" i="7" s="1"/>
  <c r="D278" i="7"/>
  <c r="B278" i="7"/>
  <c r="B273" i="7"/>
  <c r="D273" i="7" s="1"/>
  <c r="E272" i="7"/>
  <c r="E274" i="7" s="1"/>
  <c r="B272" i="7"/>
  <c r="D272" i="7" s="1"/>
  <c r="B267" i="7"/>
  <c r="D267" i="7" s="1"/>
  <c r="E266" i="7"/>
  <c r="E268" i="7" s="1"/>
  <c r="B266" i="7"/>
  <c r="D266" i="7" s="1"/>
  <c r="B261" i="7"/>
  <c r="D261" i="7" s="1"/>
  <c r="E260" i="7"/>
  <c r="B260" i="7"/>
  <c r="D260" i="7" s="1"/>
  <c r="B259" i="7"/>
  <c r="D259" i="7" s="1"/>
  <c r="D254" i="7"/>
  <c r="B254" i="7"/>
  <c r="E253" i="7"/>
  <c r="E255" i="7" s="1"/>
  <c r="B253" i="7"/>
  <c r="D253" i="7" s="1"/>
  <c r="B248" i="7"/>
  <c r="D248" i="7" s="1"/>
  <c r="E247" i="7"/>
  <c r="B247" i="7"/>
  <c r="D247" i="7" s="1"/>
  <c r="E246" i="7"/>
  <c r="B246" i="7"/>
  <c r="D246" i="7" s="1"/>
  <c r="B241" i="7"/>
  <c r="D241" i="7" s="1"/>
  <c r="E240" i="7"/>
  <c r="E242" i="7" s="1"/>
  <c r="B240" i="7"/>
  <c r="D240" i="7" s="1"/>
  <c r="B235" i="7"/>
  <c r="D235" i="7" s="1"/>
  <c r="B234" i="7"/>
  <c r="D234" i="7" s="1"/>
  <c r="B229" i="7"/>
  <c r="D229" i="7" s="1"/>
  <c r="E228" i="7"/>
  <c r="B228" i="7"/>
  <c r="D228" i="7" s="1"/>
  <c r="B227" i="7"/>
  <c r="D227" i="7" s="1"/>
  <c r="B222" i="7"/>
  <c r="D222" i="7" s="1"/>
  <c r="E221" i="7"/>
  <c r="B221" i="7"/>
  <c r="D221" i="7" s="1"/>
  <c r="B220" i="7"/>
  <c r="D220" i="7" s="1"/>
  <c r="B215" i="7"/>
  <c r="D215" i="7" s="1"/>
  <c r="E214" i="7"/>
  <c r="E216" i="7" s="1"/>
  <c r="B214" i="7"/>
  <c r="D214" i="7" s="1"/>
  <c r="B209" i="7"/>
  <c r="D209" i="7" s="1"/>
  <c r="E208" i="7"/>
  <c r="E210" i="7" s="1"/>
  <c r="B208" i="7"/>
  <c r="D208" i="7" s="1"/>
  <c r="B203" i="7"/>
  <c r="D203" i="7" s="1"/>
  <c r="E202" i="7"/>
  <c r="E204" i="7" s="1"/>
  <c r="B202" i="7"/>
  <c r="D202" i="7" s="1"/>
  <c r="B197" i="7"/>
  <c r="D197" i="7" s="1"/>
  <c r="E196" i="7"/>
  <c r="E198" i="7" s="1"/>
  <c r="B196" i="7"/>
  <c r="D196" i="7" s="1"/>
  <c r="B191" i="7"/>
  <c r="D191" i="7" s="1"/>
  <c r="B190" i="7"/>
  <c r="D190" i="7" s="1"/>
  <c r="B185" i="7"/>
  <c r="D185" i="7" s="1"/>
  <c r="B184" i="7"/>
  <c r="D184" i="7" s="1"/>
  <c r="B179" i="7"/>
  <c r="D179" i="7" s="1"/>
  <c r="D178" i="7"/>
  <c r="B178" i="7"/>
  <c r="B173" i="7"/>
  <c r="D173" i="7" s="1"/>
  <c r="E172" i="7"/>
  <c r="E174" i="7" s="1"/>
  <c r="D6" i="6" s="1"/>
  <c r="B172" i="7"/>
  <c r="D172" i="7" s="1"/>
  <c r="B167" i="7"/>
  <c r="D167" i="7" s="1"/>
  <c r="E166" i="7"/>
  <c r="E168" i="7" s="1"/>
  <c r="B166" i="7"/>
  <c r="D166" i="7" s="1"/>
  <c r="D168" i="7" s="1"/>
  <c r="B370" i="13" s="1"/>
  <c r="B160" i="7"/>
  <c r="D160" i="7" s="1"/>
  <c r="B159" i="7"/>
  <c r="D159" i="7" s="1"/>
  <c r="B153" i="7"/>
  <c r="D153" i="7" s="1"/>
  <c r="B152" i="7"/>
  <c r="D152" i="7" s="1"/>
  <c r="B146" i="7"/>
  <c r="D146" i="7" s="1"/>
  <c r="E145" i="7"/>
  <c r="E147" i="7" s="1"/>
  <c r="K27" i="4" s="1"/>
  <c r="B145" i="7"/>
  <c r="D145" i="7" s="1"/>
  <c r="B139" i="7"/>
  <c r="D139" i="7" s="1"/>
  <c r="B138" i="7"/>
  <c r="B132" i="7"/>
  <c r="D132" i="7" s="1"/>
  <c r="E131" i="7"/>
  <c r="E133" i="7" s="1"/>
  <c r="B131" i="7"/>
  <c r="D131" i="7" s="1"/>
  <c r="B126" i="7"/>
  <c r="D126" i="7" s="1"/>
  <c r="E125" i="7"/>
  <c r="E127" i="7" s="1"/>
  <c r="B125" i="7"/>
  <c r="D125" i="7" s="1"/>
  <c r="B120" i="7"/>
  <c r="D120" i="7" s="1"/>
  <c r="E119" i="7"/>
  <c r="E121" i="7" s="1"/>
  <c r="K5" i="4" s="1"/>
  <c r="B119" i="7"/>
  <c r="D119" i="7" s="1"/>
  <c r="B113" i="7"/>
  <c r="D113" i="7" s="1"/>
  <c r="E112" i="7"/>
  <c r="E114" i="7" s="1"/>
  <c r="G27" i="4" s="1"/>
  <c r="B112" i="7"/>
  <c r="D112" i="7" s="1"/>
  <c r="B106" i="7"/>
  <c r="D106" i="7" s="1"/>
  <c r="B105" i="7"/>
  <c r="D105" i="7" s="1"/>
  <c r="B99" i="7"/>
  <c r="D99" i="7" s="1"/>
  <c r="E98" i="7"/>
  <c r="E100" i="7" s="1"/>
  <c r="G5" i="4" s="1"/>
  <c r="B98" i="7"/>
  <c r="D98" i="7" s="1"/>
  <c r="B92" i="7"/>
  <c r="D92" i="7" s="1"/>
  <c r="E91" i="7"/>
  <c r="E93" i="7" s="1"/>
  <c r="C27" i="4" s="1"/>
  <c r="B91" i="7"/>
  <c r="D91" i="7" s="1"/>
  <c r="B85" i="7"/>
  <c r="D85" i="7" s="1"/>
  <c r="E84" i="7"/>
  <c r="E86" i="7" s="1"/>
  <c r="B84" i="7"/>
  <c r="D84" i="7" s="1"/>
  <c r="B79" i="7"/>
  <c r="D79" i="7" s="1"/>
  <c r="E78" i="7"/>
  <c r="E80" i="7" s="1"/>
  <c r="B78" i="7"/>
  <c r="D78" i="7" s="1"/>
  <c r="B73" i="7"/>
  <c r="D73" i="7" s="1"/>
  <c r="E72" i="7"/>
  <c r="E74" i="7" s="1"/>
  <c r="C16" i="4" s="1"/>
  <c r="B72" i="7"/>
  <c r="D72" i="7" s="1"/>
  <c r="B66" i="7"/>
  <c r="D66" i="7" s="1"/>
  <c r="E65" i="7"/>
  <c r="E67" i="7" s="1"/>
  <c r="C5" i="4" s="1"/>
  <c r="B65" i="7"/>
  <c r="D65" i="7" s="1"/>
  <c r="B59" i="7"/>
  <c r="D59" i="7" s="1"/>
  <c r="B58" i="7"/>
  <c r="D58" i="7" s="1"/>
  <c r="B52" i="7"/>
  <c r="D52" i="7" s="1"/>
  <c r="E51" i="7"/>
  <c r="E53" i="7" s="1"/>
  <c r="G27" i="3" s="1"/>
  <c r="B51" i="7"/>
  <c r="D51" i="7" s="1"/>
  <c r="B45" i="7"/>
  <c r="D45" i="7" s="1"/>
  <c r="E44" i="7"/>
  <c r="E46" i="7" s="1"/>
  <c r="G16" i="3" s="1"/>
  <c r="B44" i="7"/>
  <c r="D44" i="7" s="1"/>
  <c r="B38" i="7"/>
  <c r="D38" i="7" s="1"/>
  <c r="E37" i="7"/>
  <c r="E39" i="7" s="1"/>
  <c r="B37" i="7"/>
  <c r="D37" i="7" s="1"/>
  <c r="B32" i="7"/>
  <c r="D32" i="7" s="1"/>
  <c r="B31" i="7"/>
  <c r="D31" i="7" s="1"/>
  <c r="B25" i="7"/>
  <c r="D25" i="7" s="1"/>
  <c r="E24" i="7"/>
  <c r="E26" i="7" s="1"/>
  <c r="C38" i="3" s="1"/>
  <c r="B24" i="7"/>
  <c r="D24" i="7" s="1"/>
  <c r="B18" i="7"/>
  <c r="D18" i="7" s="1"/>
  <c r="E17" i="7"/>
  <c r="E19" i="7" s="1"/>
  <c r="C27" i="3" s="1"/>
  <c r="B17" i="7"/>
  <c r="D17" i="7" s="1"/>
  <c r="B11" i="7"/>
  <c r="D11" i="7" s="1"/>
  <c r="E10" i="7"/>
  <c r="E12" i="7" s="1"/>
  <c r="B10" i="7"/>
  <c r="D10" i="7" s="1"/>
  <c r="B4" i="7"/>
  <c r="D4" i="7" s="1"/>
  <c r="E3" i="7"/>
  <c r="E5" i="7" s="1"/>
  <c r="B3" i="7"/>
  <c r="D3" i="7" s="1"/>
  <c r="D58" i="6"/>
  <c r="C58" i="6"/>
  <c r="C57" i="6"/>
  <c r="D53" i="6"/>
  <c r="C53" i="6"/>
  <c r="D52" i="6"/>
  <c r="C52" i="6"/>
  <c r="D47" i="6"/>
  <c r="C47" i="6"/>
  <c r="C46" i="6"/>
  <c r="D45" i="6"/>
  <c r="D42" i="6"/>
  <c r="C42" i="6"/>
  <c r="D41" i="6"/>
  <c r="C41" i="6"/>
  <c r="D36" i="6"/>
  <c r="C36" i="6"/>
  <c r="C35" i="6"/>
  <c r="D31" i="6"/>
  <c r="C31" i="6"/>
  <c r="D30" i="6"/>
  <c r="C30" i="6"/>
  <c r="D24" i="6"/>
  <c r="C24" i="6"/>
  <c r="C23" i="6"/>
  <c r="D18" i="6"/>
  <c r="C18" i="6"/>
  <c r="D17" i="6"/>
  <c r="C17" i="6"/>
  <c r="D11" i="6"/>
  <c r="C11" i="6"/>
  <c r="C10" i="6"/>
  <c r="C9" i="6"/>
  <c r="C8" i="6"/>
  <c r="D5" i="6"/>
  <c r="C5" i="6"/>
  <c r="D4" i="6"/>
  <c r="C4" i="6"/>
  <c r="G31" i="5"/>
  <c r="F31" i="5"/>
  <c r="C31" i="5"/>
  <c r="B31" i="5"/>
  <c r="F30" i="5"/>
  <c r="B30" i="5"/>
  <c r="G26" i="5"/>
  <c r="F26" i="5"/>
  <c r="C26" i="5"/>
  <c r="B26" i="5"/>
  <c r="G25" i="5"/>
  <c r="F25" i="5"/>
  <c r="C25" i="5"/>
  <c r="B25" i="5"/>
  <c r="G20" i="5"/>
  <c r="F20" i="5"/>
  <c r="C20" i="5"/>
  <c r="B20" i="5"/>
  <c r="F19" i="5"/>
  <c r="B19" i="5"/>
  <c r="G15" i="5"/>
  <c r="F15" i="5"/>
  <c r="C15" i="5"/>
  <c r="B15" i="5"/>
  <c r="G14" i="5"/>
  <c r="F14" i="5"/>
  <c r="C14" i="5"/>
  <c r="B14" i="5"/>
  <c r="G9" i="5"/>
  <c r="F9" i="5"/>
  <c r="C9" i="5"/>
  <c r="B9" i="5"/>
  <c r="F8" i="5"/>
  <c r="B8" i="5"/>
  <c r="G7" i="5"/>
  <c r="G4" i="5"/>
  <c r="F4" i="5"/>
  <c r="C4" i="5"/>
  <c r="B4" i="5"/>
  <c r="G3" i="5"/>
  <c r="F3" i="5"/>
  <c r="C3" i="5"/>
  <c r="B3" i="5"/>
  <c r="C42" i="4"/>
  <c r="B42" i="4"/>
  <c r="B41" i="4"/>
  <c r="C40" i="4"/>
  <c r="C39" i="4"/>
  <c r="C37" i="4"/>
  <c r="B37" i="4"/>
  <c r="C36" i="4"/>
  <c r="B36" i="4"/>
  <c r="K31" i="4"/>
  <c r="J31" i="4"/>
  <c r="G31" i="4"/>
  <c r="F31" i="4"/>
  <c r="C31" i="4"/>
  <c r="B31" i="4"/>
  <c r="J30" i="4"/>
  <c r="F30" i="4"/>
  <c r="B30" i="4"/>
  <c r="K26" i="4"/>
  <c r="J26" i="4"/>
  <c r="G26" i="4"/>
  <c r="F26" i="4"/>
  <c r="C26" i="4"/>
  <c r="B26" i="4"/>
  <c r="K25" i="4"/>
  <c r="J25" i="4"/>
  <c r="G25" i="4"/>
  <c r="F25" i="4"/>
  <c r="C25" i="4"/>
  <c r="K20" i="4"/>
  <c r="J20" i="4"/>
  <c r="G20" i="4"/>
  <c r="F20" i="4"/>
  <c r="C20" i="4"/>
  <c r="B20" i="4"/>
  <c r="J19" i="4"/>
  <c r="F19" i="4"/>
  <c r="B19" i="4"/>
  <c r="K15" i="4"/>
  <c r="J15" i="4"/>
  <c r="G15" i="4"/>
  <c r="F15" i="4"/>
  <c r="C15" i="4"/>
  <c r="B15" i="4"/>
  <c r="K14" i="4"/>
  <c r="J14" i="4"/>
  <c r="G14" i="4"/>
  <c r="F14" i="4"/>
  <c r="C14" i="4"/>
  <c r="K9" i="4"/>
  <c r="J9" i="4"/>
  <c r="G9" i="4"/>
  <c r="F9" i="4"/>
  <c r="C9" i="4"/>
  <c r="B9" i="4"/>
  <c r="J8" i="4"/>
  <c r="F8" i="4"/>
  <c r="B8" i="4"/>
  <c r="K4" i="4"/>
  <c r="J4" i="4"/>
  <c r="G4" i="4"/>
  <c r="F4" i="4"/>
  <c r="C4" i="4"/>
  <c r="B4" i="4"/>
  <c r="K3" i="4"/>
  <c r="J3" i="4"/>
  <c r="G3" i="4"/>
  <c r="F3" i="4"/>
  <c r="C3" i="4"/>
  <c r="G42" i="3"/>
  <c r="F42" i="3"/>
  <c r="C42" i="3"/>
  <c r="B42" i="3"/>
  <c r="F41" i="3"/>
  <c r="B41" i="3"/>
  <c r="G37" i="3"/>
  <c r="F37" i="3"/>
  <c r="C37" i="3"/>
  <c r="B37" i="3"/>
  <c r="G36" i="3"/>
  <c r="F36" i="3"/>
  <c r="C36" i="3"/>
  <c r="B36" i="3"/>
  <c r="K31" i="3"/>
  <c r="J31" i="3"/>
  <c r="G31" i="3"/>
  <c r="F31" i="3"/>
  <c r="C31" i="3"/>
  <c r="B31" i="3"/>
  <c r="J30" i="3"/>
  <c r="F30" i="3"/>
  <c r="B30" i="3"/>
  <c r="K26" i="3"/>
  <c r="J26" i="3"/>
  <c r="G26" i="3"/>
  <c r="F26" i="3"/>
  <c r="C26" i="3"/>
  <c r="B26" i="3"/>
  <c r="K25" i="3"/>
  <c r="J25" i="3"/>
  <c r="G25" i="3"/>
  <c r="F25" i="3"/>
  <c r="C25" i="3"/>
  <c r="B25" i="3"/>
  <c r="K20" i="3"/>
  <c r="J20" i="3"/>
  <c r="G20" i="3"/>
  <c r="F20" i="3"/>
  <c r="C20" i="3"/>
  <c r="B20" i="3"/>
  <c r="J19" i="3"/>
  <c r="F19" i="3"/>
  <c r="B19" i="3"/>
  <c r="K15" i="3"/>
  <c r="J15" i="3"/>
  <c r="G15" i="3"/>
  <c r="F15" i="3"/>
  <c r="C15" i="3"/>
  <c r="B15" i="3"/>
  <c r="K14" i="3"/>
  <c r="J14" i="3"/>
  <c r="G14" i="3"/>
  <c r="F14" i="3"/>
  <c r="C14" i="3"/>
  <c r="B14" i="3"/>
  <c r="K9" i="3"/>
  <c r="J9" i="3"/>
  <c r="G9" i="3"/>
  <c r="F9" i="3"/>
  <c r="C9" i="3"/>
  <c r="B9" i="3"/>
  <c r="J8" i="3"/>
  <c r="F8" i="3"/>
  <c r="B8" i="3"/>
  <c r="G6" i="3"/>
  <c r="C6" i="3"/>
  <c r="K4" i="3"/>
  <c r="J4" i="3"/>
  <c r="G4" i="3"/>
  <c r="F4" i="3"/>
  <c r="C4" i="3"/>
  <c r="B4" i="3"/>
  <c r="K3" i="3"/>
  <c r="J3" i="3"/>
  <c r="G3" i="3"/>
  <c r="F3" i="3"/>
  <c r="C3" i="3"/>
  <c r="B3" i="3"/>
  <c r="G16" i="2"/>
  <c r="G15" i="2"/>
  <c r="G14" i="2"/>
  <c r="G13" i="2"/>
  <c r="G12" i="2"/>
  <c r="G11" i="2"/>
  <c r="G6" i="2"/>
  <c r="AI38" i="1"/>
  <c r="G38" i="1"/>
  <c r="G24" i="1"/>
  <c r="G18" i="1"/>
  <c r="G12" i="1"/>
  <c r="G7" i="1"/>
  <c r="R10" i="2"/>
  <c r="R5" i="2"/>
  <c r="R9" i="2"/>
  <c r="R16" i="2"/>
  <c r="R11" i="2"/>
  <c r="R13" i="2"/>
  <c r="R12" i="2"/>
  <c r="E227" i="7" l="1"/>
  <c r="E278" i="7"/>
  <c r="E280" i="7" s="1"/>
  <c r="D217" i="8"/>
  <c r="B381" i="13" s="1"/>
  <c r="D245" i="8"/>
  <c r="B410" i="13" s="1"/>
  <c r="E98" i="10"/>
  <c r="E100" i="10" s="1"/>
  <c r="E34" i="11"/>
  <c r="E38" i="11" s="1"/>
  <c r="C40" i="3" s="1"/>
  <c r="C43" i="3" s="1"/>
  <c r="E1338" i="11"/>
  <c r="E31" i="7"/>
  <c r="E33" i="7" s="1"/>
  <c r="G5" i="3" s="1"/>
  <c r="D121" i="7"/>
  <c r="E184" i="7"/>
  <c r="E186" i="7" s="1"/>
  <c r="E309" i="7"/>
  <c r="E34" i="8"/>
  <c r="E203" i="8"/>
  <c r="E361" i="9"/>
  <c r="E363" i="9" s="1"/>
  <c r="E16" i="10"/>
  <c r="E18" i="10" s="1"/>
  <c r="C39" i="3" s="1"/>
  <c r="E86" i="10"/>
  <c r="E88" i="10" s="1"/>
  <c r="E24" i="11"/>
  <c r="E616" i="11"/>
  <c r="E657" i="11"/>
  <c r="E875" i="11"/>
  <c r="E879" i="11" s="1"/>
  <c r="E152" i="7"/>
  <c r="E154" i="7" s="1"/>
  <c r="C16" i="5" s="1"/>
  <c r="E220" i="7"/>
  <c r="E223" i="7" s="1"/>
  <c r="D147" i="8"/>
  <c r="B415" i="13" s="1"/>
  <c r="D132" i="9"/>
  <c r="B277" i="13" s="1"/>
  <c r="E151" i="9"/>
  <c r="D76" i="10"/>
  <c r="B246" i="13" s="1"/>
  <c r="E1228" i="11"/>
  <c r="E1401" i="11"/>
  <c r="B1825" i="11"/>
  <c r="D1825" i="11" s="1"/>
  <c r="B1835" i="11"/>
  <c r="D1835" i="11" s="1"/>
  <c r="B3" i="4"/>
  <c r="D305" i="7"/>
  <c r="B374" i="13" s="1"/>
  <c r="E215" i="8"/>
  <c r="E245" i="8"/>
  <c r="E74" i="10"/>
  <c r="E76" i="10" s="1"/>
  <c r="E74" i="11"/>
  <c r="D207" i="11"/>
  <c r="E213" i="11"/>
  <c r="E217" i="11" s="1"/>
  <c r="G7" i="4" s="1"/>
  <c r="E696" i="11"/>
  <c r="E809" i="11"/>
  <c r="E946" i="11"/>
  <c r="E950" i="11" s="1"/>
  <c r="E1303" i="11"/>
  <c r="G10" i="2"/>
  <c r="C7" i="2"/>
  <c r="C8" i="2"/>
  <c r="E105" i="7"/>
  <c r="E107" i="7" s="1"/>
  <c r="G16" i="4" s="1"/>
  <c r="E138" i="7"/>
  <c r="E140" i="7" s="1"/>
  <c r="K16" i="4" s="1"/>
  <c r="E354" i="9"/>
  <c r="E356" i="9" s="1"/>
  <c r="E532" i="11"/>
  <c r="E687" i="11"/>
  <c r="E691" i="11" s="1"/>
  <c r="E906" i="11"/>
  <c r="E929" i="11"/>
  <c r="E58" i="7"/>
  <c r="E60" i="7" s="1"/>
  <c r="G38" i="3" s="1"/>
  <c r="E159" i="7"/>
  <c r="E161" i="7" s="1"/>
  <c r="C27" i="5" s="1"/>
  <c r="E234" i="7"/>
  <c r="E236" i="7" s="1"/>
  <c r="E6" i="8"/>
  <c r="E133" i="8"/>
  <c r="E333" i="9"/>
  <c r="D384" i="9"/>
  <c r="B281" i="13" s="1"/>
  <c r="E122" i="10"/>
  <c r="E124" i="10" s="1"/>
  <c r="D142" i="10"/>
  <c r="B258" i="13" s="1"/>
  <c r="E114" i="11"/>
  <c r="E134" i="11"/>
  <c r="E356" i="11"/>
  <c r="E489" i="11"/>
  <c r="E541" i="11"/>
  <c r="E897" i="11"/>
  <c r="E1522" i="11"/>
  <c r="E2097" i="11"/>
  <c r="E10" i="10"/>
  <c r="E12" i="10" s="1"/>
  <c r="E30" i="10"/>
  <c r="E32" i="10" s="1"/>
  <c r="E50" i="10"/>
  <c r="E52" i="10" s="1"/>
  <c r="D70" i="10"/>
  <c r="B240" i="13" s="1"/>
  <c r="E110" i="10"/>
  <c r="E112" i="10" s="1"/>
  <c r="E550" i="11"/>
  <c r="E570" i="11"/>
  <c r="E911" i="11"/>
  <c r="E915" i="11" s="1"/>
  <c r="D227" i="11"/>
  <c r="B97" i="13" s="1"/>
  <c r="E190" i="7"/>
  <c r="E192" i="7" s="1"/>
  <c r="E178" i="7"/>
  <c r="E180" i="7" s="1"/>
  <c r="E290" i="7"/>
  <c r="E292" i="7" s="1"/>
  <c r="E1576" i="11"/>
  <c r="B89" i="8"/>
  <c r="D89" i="8" s="1"/>
  <c r="D91" i="8" s="1"/>
  <c r="B430" i="13" s="1"/>
  <c r="E89" i="8"/>
  <c r="E91" i="8" s="1"/>
  <c r="B137" i="8"/>
  <c r="D137" i="8" s="1"/>
  <c r="B166" i="8"/>
  <c r="D166" i="8" s="1"/>
  <c r="E189" i="8"/>
  <c r="D203" i="8"/>
  <c r="B397" i="13" s="1"/>
  <c r="D6" i="9"/>
  <c r="B305" i="13" s="1"/>
  <c r="E122" i="9"/>
  <c r="E125" i="9" s="1"/>
  <c r="B143" i="9"/>
  <c r="D143" i="9" s="1"/>
  <c r="D146" i="9" s="1"/>
  <c r="B294" i="13" s="1"/>
  <c r="B164" i="9"/>
  <c r="D164" i="9" s="1"/>
  <c r="D167" i="9" s="1"/>
  <c r="B296" i="13" s="1"/>
  <c r="E305" i="9"/>
  <c r="B318" i="9"/>
  <c r="D318" i="9" s="1"/>
  <c r="E48" i="11"/>
  <c r="E866" i="11"/>
  <c r="E870" i="11" s="1"/>
  <c r="E1108" i="11"/>
  <c r="E1696" i="11"/>
  <c r="E1699" i="11" s="1"/>
  <c r="E1962" i="11"/>
  <c r="E1972" i="11"/>
  <c r="C28" i="4"/>
  <c r="D204" i="7"/>
  <c r="B325" i="13" s="1"/>
  <c r="B103" i="8"/>
  <c r="D103" i="8" s="1"/>
  <c r="D105" i="8" s="1"/>
  <c r="B429" i="13" s="1"/>
  <c r="E145" i="8"/>
  <c r="E147" i="8" s="1"/>
  <c r="D161" i="8"/>
  <c r="B420" i="13" s="1"/>
  <c r="E166" i="8"/>
  <c r="E46" i="9"/>
  <c r="D62" i="9"/>
  <c r="B318" i="13" s="1"/>
  <c r="E88" i="9"/>
  <c r="E90" i="9" s="1"/>
  <c r="E186" i="9"/>
  <c r="E188" i="9" s="1"/>
  <c r="E370" i="9"/>
  <c r="E23" i="10"/>
  <c r="E25" i="10" s="1"/>
  <c r="E461" i="11"/>
  <c r="E1383" i="11"/>
  <c r="E1429" i="11"/>
  <c r="D1952" i="11"/>
  <c r="B83" i="13" s="1"/>
  <c r="B63" i="11"/>
  <c r="D63" i="11" s="1"/>
  <c r="C9" i="2"/>
  <c r="C6" i="4"/>
  <c r="D77" i="8"/>
  <c r="B421" i="13" s="1"/>
  <c r="B95" i="8"/>
  <c r="D95" i="8" s="1"/>
  <c r="B138" i="8"/>
  <c r="D138" i="8" s="1"/>
  <c r="B180" i="8"/>
  <c r="D180" i="8" s="1"/>
  <c r="D182" i="8" s="1"/>
  <c r="B425" i="13" s="1"/>
  <c r="B222" i="8"/>
  <c r="D222" i="8" s="1"/>
  <c r="B235" i="8"/>
  <c r="D235" i="8" s="1"/>
  <c r="D238" i="8" s="1"/>
  <c r="B408" i="13" s="1"/>
  <c r="D259" i="8"/>
  <c r="B404" i="13" s="1"/>
  <c r="E25" i="9"/>
  <c r="E67" i="9"/>
  <c r="E69" i="9" s="1"/>
  <c r="E123" i="9"/>
  <c r="B157" i="9"/>
  <c r="D157" i="9" s="1"/>
  <c r="E340" i="9"/>
  <c r="E342" i="9" s="1"/>
  <c r="E382" i="9"/>
  <c r="E44" i="10"/>
  <c r="E46" i="10" s="1"/>
  <c r="C28" i="5" s="1"/>
  <c r="E146" i="10"/>
  <c r="E148" i="10" s="1"/>
  <c r="E955" i="11"/>
  <c r="E964" i="11"/>
  <c r="E968" i="11" s="1"/>
  <c r="B1470" i="11"/>
  <c r="D1470" i="11" s="1"/>
  <c r="D2070" i="11"/>
  <c r="B104" i="13" s="1"/>
  <c r="B14" i="4"/>
  <c r="C10" i="2"/>
  <c r="C17" i="4"/>
  <c r="B40" i="8"/>
  <c r="D40" i="8" s="1"/>
  <c r="D42" i="8" s="1"/>
  <c r="B383" i="13" s="1"/>
  <c r="B53" i="8"/>
  <c r="D53" i="8" s="1"/>
  <c r="D133" i="8"/>
  <c r="B431" i="13" s="1"/>
  <c r="E138" i="8"/>
  <c r="B172" i="8"/>
  <c r="D172" i="8" s="1"/>
  <c r="D175" i="8" s="1"/>
  <c r="B396" i="13" s="1"/>
  <c r="E238" i="8"/>
  <c r="B52" i="9"/>
  <c r="D52" i="9" s="1"/>
  <c r="D230" i="9"/>
  <c r="B297" i="13" s="1"/>
  <c r="E397" i="11"/>
  <c r="E405" i="11"/>
  <c r="E1034" i="11"/>
  <c r="E389" i="9"/>
  <c r="C6" i="5"/>
  <c r="D7" i="6"/>
  <c r="D44" i="6"/>
  <c r="B96" i="8"/>
  <c r="D96" i="8" s="1"/>
  <c r="B236" i="8"/>
  <c r="D236" i="8" s="1"/>
  <c r="B257" i="8"/>
  <c r="D257" i="8" s="1"/>
  <c r="B368" i="8"/>
  <c r="D368" i="8" s="1"/>
  <c r="E39" i="9"/>
  <c r="E52" i="9"/>
  <c r="E55" i="9" s="1"/>
  <c r="D76" i="9"/>
  <c r="B311" i="13" s="1"/>
  <c r="E139" i="9"/>
  <c r="E214" i="9"/>
  <c r="D136" i="10"/>
  <c r="B241" i="13" s="1"/>
  <c r="E144" i="11"/>
  <c r="E574" i="11"/>
  <c r="E747" i="11"/>
  <c r="C17" i="3"/>
  <c r="B25" i="4"/>
  <c r="B54" i="8"/>
  <c r="D54" i="8" s="1"/>
  <c r="D56" i="8" s="1"/>
  <c r="B434" i="13" s="1"/>
  <c r="E77" i="8"/>
  <c r="E96" i="8"/>
  <c r="D189" i="8"/>
  <c r="B395" i="13" s="1"/>
  <c r="E259" i="8"/>
  <c r="E18" i="9"/>
  <c r="E34" i="9"/>
  <c r="E18" i="11"/>
  <c r="C18" i="3" s="1"/>
  <c r="E124" i="11"/>
  <c r="E128" i="11" s="1"/>
  <c r="E366" i="11"/>
  <c r="D1084" i="11"/>
  <c r="B222" i="13" s="1"/>
  <c r="D1112" i="11"/>
  <c r="B108" i="13" s="1"/>
  <c r="E1283" i="11"/>
  <c r="D1364" i="11"/>
  <c r="B47" i="13" s="1"/>
  <c r="B1854" i="11"/>
  <c r="D1854" i="11" s="1"/>
  <c r="D33" i="7"/>
  <c r="B347" i="13" s="1"/>
  <c r="D46" i="7"/>
  <c r="D180" i="7"/>
  <c r="B356" i="13" s="1"/>
  <c r="D192" i="7"/>
  <c r="B343" i="13" s="1"/>
  <c r="D13" i="8"/>
  <c r="E42" i="8"/>
  <c r="E49" i="8"/>
  <c r="D63" i="8"/>
  <c r="B432" i="13" s="1"/>
  <c r="E105" i="8"/>
  <c r="D119" i="8"/>
  <c r="B417" i="13" s="1"/>
  <c r="E161" i="8"/>
  <c r="E210" i="8"/>
  <c r="E217" i="8"/>
  <c r="D231" i="8"/>
  <c r="B411" i="13" s="1"/>
  <c r="E266" i="8"/>
  <c r="E280" i="8"/>
  <c r="D315" i="8"/>
  <c r="B384" i="13" s="1"/>
  <c r="E329" i="8"/>
  <c r="E132" i="9"/>
  <c r="E272" i="9"/>
  <c r="D118" i="11"/>
  <c r="B73" i="13" s="1"/>
  <c r="D308" i="8"/>
  <c r="B405" i="13" s="1"/>
  <c r="D187" i="11"/>
  <c r="B7" i="4" s="1"/>
  <c r="D737" i="11"/>
  <c r="B102" i="13" s="1"/>
  <c r="D1044" i="11"/>
  <c r="B188" i="13" s="1"/>
  <c r="D93" i="7"/>
  <c r="B27" i="4" s="1"/>
  <c r="D230" i="7"/>
  <c r="B373" i="13" s="1"/>
  <c r="E63" i="8"/>
  <c r="E84" i="8"/>
  <c r="E119" i="8"/>
  <c r="E175" i="8"/>
  <c r="E196" i="8"/>
  <c r="E231" i="8"/>
  <c r="E343" i="8"/>
  <c r="D202" i="9"/>
  <c r="B282" i="13" s="1"/>
  <c r="D98" i="11"/>
  <c r="B64" i="13" s="1"/>
  <c r="D138" i="11"/>
  <c r="F29" i="3" s="1"/>
  <c r="D629" i="11"/>
  <c r="B133" i="13" s="1"/>
  <c r="E1602" i="11"/>
  <c r="D1752" i="11"/>
  <c r="B67" i="13" s="1"/>
  <c r="B2101" i="11"/>
  <c r="D2101" i="11" s="1"/>
  <c r="D2106" i="11" s="1"/>
  <c r="B80" i="13" s="1"/>
  <c r="B1443" i="11"/>
  <c r="D1443" i="11" s="1"/>
  <c r="B2056" i="11"/>
  <c r="D2056" i="11" s="1"/>
  <c r="B2121" i="11"/>
  <c r="D2121" i="11" s="1"/>
  <c r="D2127" i="11" s="1"/>
  <c r="B160" i="13" s="1"/>
  <c r="B1489" i="11"/>
  <c r="D1489" i="11" s="1"/>
  <c r="D1495" i="11" s="1"/>
  <c r="B164" i="13" s="1"/>
  <c r="B1249" i="11"/>
  <c r="D1249" i="11" s="1"/>
  <c r="D1254" i="11" s="1"/>
  <c r="B233" i="13" s="1"/>
  <c r="B1088" i="11"/>
  <c r="D1088" i="11" s="1"/>
  <c r="B1686" i="11"/>
  <c r="D1686" i="11" s="1"/>
  <c r="D1691" i="11" s="1"/>
  <c r="B215" i="13" s="1"/>
  <c r="B1471" i="11"/>
  <c r="D1471" i="11" s="1"/>
  <c r="E19" i="12"/>
  <c r="E284" i="9" s="1"/>
  <c r="E286" i="9" s="1"/>
  <c r="E982" i="11"/>
  <c r="E986" i="11" s="1"/>
  <c r="E787" i="11"/>
  <c r="E791" i="11" s="1"/>
  <c r="E1135" i="11"/>
  <c r="E1139" i="11" s="1"/>
  <c r="E991" i="11"/>
  <c r="E995" i="11" s="1"/>
  <c r="E973" i="11"/>
  <c r="E977" i="11" s="1"/>
  <c r="E857" i="11"/>
  <c r="E861" i="11" s="1"/>
  <c r="E607" i="11"/>
  <c r="E611" i="11" s="1"/>
  <c r="E589" i="11"/>
  <c r="E593" i="11" s="1"/>
  <c r="D350" i="8"/>
  <c r="B389" i="13" s="1"/>
  <c r="E27" i="9"/>
  <c r="D48" i="9"/>
  <c r="B283" i="13" s="1"/>
  <c r="E62" i="9"/>
  <c r="E153" i="9"/>
  <c r="E258" i="9"/>
  <c r="E349" i="9"/>
  <c r="D88" i="10"/>
  <c r="B244" i="13" s="1"/>
  <c r="E28" i="11"/>
  <c r="C29" i="3" s="1"/>
  <c r="E78" i="11"/>
  <c r="B83" i="11"/>
  <c r="D83" i="11" s="1"/>
  <c r="D88" i="11" s="1"/>
  <c r="B82" i="13" s="1"/>
  <c r="E223" i="11"/>
  <c r="E227" i="11" s="1"/>
  <c r="G18" i="4" s="1"/>
  <c r="E296" i="11"/>
  <c r="E325" i="11"/>
  <c r="C29" i="5" s="1"/>
  <c r="E346" i="11"/>
  <c r="G29" i="5" s="1"/>
  <c r="B371" i="11"/>
  <c r="D371" i="11" s="1"/>
  <c r="B381" i="11"/>
  <c r="D381" i="11" s="1"/>
  <c r="E471" i="11"/>
  <c r="E494" i="11"/>
  <c r="E499" i="11" s="1"/>
  <c r="E508" i="11"/>
  <c r="E536" i="11"/>
  <c r="E778" i="11"/>
  <c r="E782" i="11" s="1"/>
  <c r="E1126" i="11"/>
  <c r="E1130" i="11" s="1"/>
  <c r="B1875" i="11"/>
  <c r="D1875" i="11" s="1"/>
  <c r="B2004" i="11"/>
  <c r="D2004" i="11" s="1"/>
  <c r="E350" i="8"/>
  <c r="E13" i="9"/>
  <c r="D20" i="9"/>
  <c r="B295" i="13" s="1"/>
  <c r="E83" i="9"/>
  <c r="D97" i="9"/>
  <c r="B275" i="13" s="1"/>
  <c r="E160" i="9"/>
  <c r="D363" i="9"/>
  <c r="B271" i="13" s="1"/>
  <c r="D25" i="10"/>
  <c r="F6" i="3" s="1"/>
  <c r="D82" i="10"/>
  <c r="B242" i="13" s="1"/>
  <c r="D94" i="10"/>
  <c r="B256" i="13" s="1"/>
  <c r="D148" i="10"/>
  <c r="B257" i="13" s="1"/>
  <c r="D154" i="10"/>
  <c r="B260" i="13" s="1"/>
  <c r="D166" i="10"/>
  <c r="B250" i="13" s="1"/>
  <c r="D78" i="11"/>
  <c r="B81" i="13" s="1"/>
  <c r="E108" i="11"/>
  <c r="E148" i="11"/>
  <c r="G40" i="3" s="1"/>
  <c r="E266" i="11"/>
  <c r="K29" i="4" s="1"/>
  <c r="K32" i="4" s="1"/>
  <c r="D276" i="11"/>
  <c r="B153" i="13" s="1"/>
  <c r="E285" i="11"/>
  <c r="E315" i="11"/>
  <c r="C18" i="5" s="1"/>
  <c r="B314" i="11"/>
  <c r="D314" i="11" s="1"/>
  <c r="D315" i="11" s="1"/>
  <c r="D325" i="11"/>
  <c r="B178" i="13" s="1"/>
  <c r="E335" i="11"/>
  <c r="G18" i="5" s="1"/>
  <c r="E377" i="11"/>
  <c r="E387" i="11"/>
  <c r="E415" i="11"/>
  <c r="D442" i="11"/>
  <c r="E565" i="11"/>
  <c r="D800" i="11"/>
  <c r="B74" i="13" s="1"/>
  <c r="D809" i="11"/>
  <c r="B142" i="13" s="1"/>
  <c r="E1405" i="11"/>
  <c r="E1410" i="11" s="1"/>
  <c r="D1645" i="11"/>
  <c r="B72" i="13" s="1"/>
  <c r="B1865" i="11"/>
  <c r="D1865" i="11" s="1"/>
  <c r="D1870" i="11" s="1"/>
  <c r="B224" i="13" s="1"/>
  <c r="E2132" i="11"/>
  <c r="E2135" i="11" s="1"/>
  <c r="E710" i="11"/>
  <c r="E755" i="11"/>
  <c r="E1044" i="11"/>
  <c r="D1054" i="11"/>
  <c r="B223" i="13" s="1"/>
  <c r="E1064" i="11"/>
  <c r="E1084" i="11"/>
  <c r="E1121" i="11"/>
  <c r="E1149" i="11"/>
  <c r="E1159" i="11"/>
  <c r="E1177" i="11"/>
  <c r="E1211" i="11"/>
  <c r="E1391" i="11"/>
  <c r="E1457" i="11"/>
  <c r="D1466" i="11"/>
  <c r="B5" i="13" s="1"/>
  <c r="D1514" i="11"/>
  <c r="B161" i="13" s="1"/>
  <c r="E1568" i="11"/>
  <c r="E1611" i="11"/>
  <c r="E1724" i="11"/>
  <c r="D2024" i="11"/>
  <c r="B120" i="13" s="1"/>
  <c r="E2042" i="11"/>
  <c r="E2052" i="11"/>
  <c r="E620" i="11"/>
  <c r="E648" i="11"/>
  <c r="E959" i="11"/>
  <c r="E1054" i="11"/>
  <c r="E1074" i="11"/>
  <c r="E1185" i="11"/>
  <c r="E1312" i="11"/>
  <c r="E1439" i="11"/>
  <c r="E1540" i="11"/>
  <c r="E1628" i="11"/>
  <c r="E1992" i="11"/>
  <c r="E2061" i="11"/>
  <c r="D12" i="7"/>
  <c r="F17" i="3"/>
  <c r="B59" i="13"/>
  <c r="B68" i="13"/>
  <c r="B29" i="4"/>
  <c r="D343" i="8"/>
  <c r="B390" i="13" s="1"/>
  <c r="E1352" i="11"/>
  <c r="E1356" i="11" s="1"/>
  <c r="E769" i="11"/>
  <c r="E773" i="11" s="1"/>
  <c r="E1444" i="11"/>
  <c r="E1448" i="11" s="1"/>
  <c r="D5" i="7"/>
  <c r="B38" i="4" s="1"/>
  <c r="D80" i="7"/>
  <c r="B354" i="13" s="1"/>
  <c r="B140" i="7"/>
  <c r="E230" i="7"/>
  <c r="D292" i="7"/>
  <c r="B326" i="13" s="1"/>
  <c r="E312" i="7"/>
  <c r="E13" i="8"/>
  <c r="G16" i="5" s="1"/>
  <c r="D70" i="8"/>
  <c r="B422" i="13" s="1"/>
  <c r="D98" i="8"/>
  <c r="B427" i="13" s="1"/>
  <c r="D126" i="8"/>
  <c r="B423" i="13" s="1"/>
  <c r="D154" i="8"/>
  <c r="B433" i="13" s="1"/>
  <c r="D210" i="8"/>
  <c r="B399" i="13" s="1"/>
  <c r="D266" i="8"/>
  <c r="B391" i="13" s="1"/>
  <c r="E287" i="8"/>
  <c r="E308" i="8"/>
  <c r="E378" i="8"/>
  <c r="E385" i="8"/>
  <c r="D83" i="9"/>
  <c r="B310" i="13" s="1"/>
  <c r="E452" i="11"/>
  <c r="D118" i="9"/>
  <c r="B320" i="13" s="1"/>
  <c r="K28" i="3"/>
  <c r="D114" i="7"/>
  <c r="B360" i="13" s="1"/>
  <c r="D255" i="7"/>
  <c r="B332" i="13" s="1"/>
  <c r="E20" i="8"/>
  <c r="G5" i="5" s="1"/>
  <c r="E357" i="8"/>
  <c r="D371" i="8"/>
  <c r="B386" i="13" s="1"/>
  <c r="D313" i="9"/>
  <c r="D314" i="9" s="1"/>
  <c r="B289" i="13" s="1"/>
  <c r="B320" i="9"/>
  <c r="D320" i="9" s="1"/>
  <c r="D321" i="9" s="1"/>
  <c r="B290" i="13" s="1"/>
  <c r="D18" i="11"/>
  <c r="B13" i="13" s="1"/>
  <c r="D256" i="11"/>
  <c r="D1064" i="11"/>
  <c r="B229" i="13" s="1"/>
  <c r="D174" i="7"/>
  <c r="B371" i="13" s="1"/>
  <c r="D198" i="7"/>
  <c r="B327" i="13" s="1"/>
  <c r="D294" i="8"/>
  <c r="B387" i="13" s="1"/>
  <c r="E315" i="8"/>
  <c r="E336" i="8"/>
  <c r="D27" i="9"/>
  <c r="J17" i="3" s="1"/>
  <c r="E76" i="9"/>
  <c r="D342" i="9"/>
  <c r="B287" i="13" s="1"/>
  <c r="D306" i="11"/>
  <c r="B815" i="11"/>
  <c r="D815" i="11" s="1"/>
  <c r="D671" i="11"/>
  <c r="D86" i="7"/>
  <c r="B355" i="13" s="1"/>
  <c r="D100" i="7"/>
  <c r="F5" i="4" s="1"/>
  <c r="D210" i="7"/>
  <c r="B363" i="13" s="1"/>
  <c r="D298" i="7"/>
  <c r="B338" i="13" s="1"/>
  <c r="E305" i="7"/>
  <c r="D27" i="8"/>
  <c r="B416" i="13" s="1"/>
  <c r="E70" i="8"/>
  <c r="E98" i="8"/>
  <c r="E126" i="8"/>
  <c r="E154" i="8"/>
  <c r="E182" i="8"/>
  <c r="E273" i="8"/>
  <c r="E294" i="8"/>
  <c r="D364" i="8"/>
  <c r="B392" i="13" s="1"/>
  <c r="E20" i="9"/>
  <c r="D258" i="9"/>
  <c r="B299" i="13" s="1"/>
  <c r="D286" i="9"/>
  <c r="B286" i="13" s="1"/>
  <c r="D236" i="11"/>
  <c r="B106" i="13" s="1"/>
  <c r="D246" i="11"/>
  <c r="J7" i="4" s="1"/>
  <c r="E527" i="11"/>
  <c r="B816" i="11"/>
  <c r="D816" i="11" s="1"/>
  <c r="D672" i="11"/>
  <c r="D39" i="7"/>
  <c r="B348" i="13" s="1"/>
  <c r="D161" i="7"/>
  <c r="B369" i="13" s="1"/>
  <c r="D186" i="7"/>
  <c r="B16" i="5" s="1"/>
  <c r="D249" i="7"/>
  <c r="B375" i="13" s="1"/>
  <c r="E27" i="8"/>
  <c r="D84" i="8"/>
  <c r="B409" i="13" s="1"/>
  <c r="D112" i="8"/>
  <c r="B424" i="13" s="1"/>
  <c r="D140" i="8"/>
  <c r="B428" i="13" s="1"/>
  <c r="D168" i="8"/>
  <c r="B398" i="13" s="1"/>
  <c r="D196" i="8"/>
  <c r="B407" i="13" s="1"/>
  <c r="D224" i="8"/>
  <c r="B394" i="13" s="1"/>
  <c r="D252" i="8"/>
  <c r="B393" i="13" s="1"/>
  <c r="D287" i="8"/>
  <c r="B406" i="13" s="1"/>
  <c r="E364" i="8"/>
  <c r="E237" i="9"/>
  <c r="D118" i="10"/>
  <c r="D130" i="10"/>
  <c r="B243" i="13" s="1"/>
  <c r="E584" i="11"/>
  <c r="D638" i="11"/>
  <c r="B143" i="13" s="1"/>
  <c r="D26" i="7"/>
  <c r="B38" i="3" s="1"/>
  <c r="D147" i="7"/>
  <c r="B367" i="13" s="1"/>
  <c r="D236" i="7"/>
  <c r="B365" i="13" s="1"/>
  <c r="D318" i="7"/>
  <c r="B334" i="13" s="1"/>
  <c r="D60" i="7"/>
  <c r="B351" i="13" s="1"/>
  <c r="E249" i="7"/>
  <c r="D274" i="7"/>
  <c r="B333" i="13" s="1"/>
  <c r="D336" i="7"/>
  <c r="B330" i="13" s="1"/>
  <c r="E56" i="8"/>
  <c r="E140" i="8"/>
  <c r="E168" i="8"/>
  <c r="E252" i="8"/>
  <c r="E301" i="8"/>
  <c r="E322" i="8"/>
  <c r="E371" i="8"/>
  <c r="E172" i="9"/>
  <c r="E174" i="9" s="1"/>
  <c r="E216" i="9"/>
  <c r="D279" i="9"/>
  <c r="B301" i="13" s="1"/>
  <c r="E319" i="9"/>
  <c r="E321" i="9" s="1"/>
  <c r="D391" i="9"/>
  <c r="B272" i="13" s="1"/>
  <c r="D691" i="11"/>
  <c r="B117" i="13" s="1"/>
  <c r="D720" i="11"/>
  <c r="B220" i="13" s="1"/>
  <c r="E760" i="11"/>
  <c r="E764" i="11" s="1"/>
  <c r="F18" i="4"/>
  <c r="E144" i="9"/>
  <c r="E146" i="9" s="1"/>
  <c r="D307" i="9"/>
  <c r="B274" i="13" s="1"/>
  <c r="D392" i="8"/>
  <c r="B388" i="13" s="1"/>
  <c r="E6" i="9"/>
  <c r="E48" i="9"/>
  <c r="E118" i="9"/>
  <c r="D174" i="9"/>
  <c r="B292" i="13" s="1"/>
  <c r="E181" i="9"/>
  <c r="E307" i="9"/>
  <c r="D335" i="9"/>
  <c r="B268" i="13" s="1"/>
  <c r="E8" i="11"/>
  <c r="D285" i="11"/>
  <c r="B111" i="13" s="1"/>
  <c r="D387" i="11"/>
  <c r="B166" i="13" s="1"/>
  <c r="E554" i="11"/>
  <c r="E817" i="11"/>
  <c r="E933" i="11"/>
  <c r="D1024" i="11"/>
  <c r="B183" i="13" s="1"/>
  <c r="D1074" i="11"/>
  <c r="B191" i="13" s="1"/>
  <c r="D1681" i="11"/>
  <c r="B213" i="13" s="1"/>
  <c r="D1699" i="11"/>
  <c r="B54" i="13" s="1"/>
  <c r="D1934" i="11"/>
  <c r="B202" i="13" s="1"/>
  <c r="D2088" i="11"/>
  <c r="B152" i="13" s="1"/>
  <c r="E392" i="8"/>
  <c r="D34" i="9"/>
  <c r="B312" i="13" s="1"/>
  <c r="E41" i="9"/>
  <c r="D69" i="9"/>
  <c r="B285" i="13" s="1"/>
  <c r="D104" i="9"/>
  <c r="B309" i="13" s="1"/>
  <c r="E111" i="9"/>
  <c r="D160" i="9"/>
  <c r="B306" i="13" s="1"/>
  <c r="E209" i="9"/>
  <c r="E230" i="9"/>
  <c r="D251" i="9"/>
  <c r="B316" i="13" s="1"/>
  <c r="E335" i="9"/>
  <c r="D124" i="10"/>
  <c r="B245" i="13" s="1"/>
  <c r="E58" i="11"/>
  <c r="D8" i="6" s="1"/>
  <c r="E118" i="11"/>
  <c r="E157" i="11"/>
  <c r="K7" i="3" s="1"/>
  <c r="E166" i="11"/>
  <c r="K18" i="3" s="1"/>
  <c r="E176" i="11"/>
  <c r="K29" i="3" s="1"/>
  <c r="E187" i="11"/>
  <c r="D415" i="11"/>
  <c r="B156" i="13" s="1"/>
  <c r="E476" i="11"/>
  <c r="E480" i="11" s="1"/>
  <c r="E638" i="11"/>
  <c r="E665" i="11"/>
  <c r="E720" i="11"/>
  <c r="D755" i="11"/>
  <c r="B46" i="13" s="1"/>
  <c r="D1034" i="11"/>
  <c r="B187" i="13" s="1"/>
  <c r="D1771" i="11"/>
  <c r="B95" i="13" s="1"/>
  <c r="D41" i="9"/>
  <c r="B291" i="13" s="1"/>
  <c r="D111" i="9"/>
  <c r="B319" i="13" s="1"/>
  <c r="E251" i="9"/>
  <c r="E293" i="9"/>
  <c r="E314" i="9"/>
  <c r="D370" i="9"/>
  <c r="B298" i="13" s="1"/>
  <c r="E384" i="9"/>
  <c r="D18" i="10"/>
  <c r="B253" i="13" s="1"/>
  <c r="D32" i="10"/>
  <c r="B254" i="13" s="1"/>
  <c r="D38" i="11"/>
  <c r="B27" i="13" s="1"/>
  <c r="E197" i="11"/>
  <c r="E236" i="11"/>
  <c r="G29" i="4" s="1"/>
  <c r="E246" i="11"/>
  <c r="K7" i="4" s="1"/>
  <c r="E256" i="11"/>
  <c r="K18" i="4" s="1"/>
  <c r="E306" i="11"/>
  <c r="D346" i="11"/>
  <c r="D356" i="11"/>
  <c r="B234" i="13" s="1"/>
  <c r="D366" i="11"/>
  <c r="D773" i="11"/>
  <c r="B22" i="13" s="1"/>
  <c r="D782" i="11"/>
  <c r="B85" i="13" s="1"/>
  <c r="D906" i="11"/>
  <c r="B123" i="13" s="1"/>
  <c r="D2042" i="11"/>
  <c r="B179" i="13" s="1"/>
  <c r="B1333" i="11"/>
  <c r="D1333" i="11" s="1"/>
  <c r="D1338" i="11" s="1"/>
  <c r="B132" i="13" s="1"/>
  <c r="B847" i="11"/>
  <c r="D847" i="11" s="1"/>
  <c r="D852" i="11" s="1"/>
  <c r="B138" i="13" s="1"/>
  <c r="B1215" i="11"/>
  <c r="D1215" i="11" s="1"/>
  <c r="D1220" i="11" s="1"/>
  <c r="B136" i="13" s="1"/>
  <c r="B1606" i="11"/>
  <c r="D1606" i="11" s="1"/>
  <c r="D1611" i="11" s="1"/>
  <c r="B134" i="13" s="1"/>
  <c r="B2075" i="11"/>
  <c r="D2075" i="11" s="1"/>
  <c r="D2079" i="11" s="1"/>
  <c r="B181" i="13" s="1"/>
  <c r="B1597" i="11"/>
  <c r="D1597" i="11" s="1"/>
  <c r="E1197" i="11"/>
  <c r="E1189" i="11"/>
  <c r="E1193" i="11" s="1"/>
  <c r="E2147" i="11"/>
  <c r="E2151" i="11" s="1"/>
  <c r="D1457" i="11"/>
  <c r="B60" i="13" s="1"/>
  <c r="B1986" i="11"/>
  <c r="D1986" i="11" s="1"/>
  <c r="D1992" i="11" s="1"/>
  <c r="B211" i="13" s="1"/>
  <c r="B1377" i="11"/>
  <c r="D1377" i="11" s="1"/>
  <c r="B1163" i="11"/>
  <c r="D1163" i="11" s="1"/>
  <c r="D1169" i="11" s="1"/>
  <c r="B212" i="13" s="1"/>
  <c r="B1956" i="11"/>
  <c r="D1956" i="11" s="1"/>
  <c r="D1962" i="11" s="1"/>
  <c r="B209" i="13" s="1"/>
  <c r="D13" i="9"/>
  <c r="F28" i="5" s="1"/>
  <c r="D55" i="9"/>
  <c r="B304" i="13" s="1"/>
  <c r="D90" i="9"/>
  <c r="B302" i="13" s="1"/>
  <c r="D125" i="9"/>
  <c r="B279" i="13" s="1"/>
  <c r="D188" i="9"/>
  <c r="B278" i="13" s="1"/>
  <c r="E195" i="9"/>
  <c r="E279" i="9"/>
  <c r="E391" i="9"/>
  <c r="D39" i="10"/>
  <c r="J28" i="4" s="1"/>
  <c r="D58" i="11"/>
  <c r="B3" i="13" s="1"/>
  <c r="E98" i="11"/>
  <c r="E138" i="11"/>
  <c r="G29" i="3" s="1"/>
  <c r="D157" i="11"/>
  <c r="D166" i="11"/>
  <c r="D176" i="11"/>
  <c r="E207" i="11"/>
  <c r="C29" i="4" s="1"/>
  <c r="C32" i="4" s="1"/>
  <c r="D425" i="11"/>
  <c r="B157" i="13" s="1"/>
  <c r="B475" i="11"/>
  <c r="D475" i="11" s="1"/>
  <c r="D480" i="11" s="1"/>
  <c r="B145" i="13" s="1"/>
  <c r="E545" i="11"/>
  <c r="E602" i="11"/>
  <c r="D657" i="11"/>
  <c r="B151" i="13" s="1"/>
  <c r="E700" i="11"/>
  <c r="E728" i="11"/>
  <c r="E800" i="11"/>
  <c r="D924" i="11"/>
  <c r="B150" i="13" s="1"/>
  <c r="D1004" i="11"/>
  <c r="B33" i="13" s="1"/>
  <c r="D1014" i="11"/>
  <c r="B182" i="13" s="1"/>
  <c r="E1103" i="11"/>
  <c r="D1228" i="11"/>
  <c r="B48" i="13" s="1"/>
  <c r="D1653" i="11"/>
  <c r="B118" i="13" s="1"/>
  <c r="D1839" i="11"/>
  <c r="D1840" i="11" s="1"/>
  <c r="B208" i="13" s="1"/>
  <c r="E1317" i="11"/>
  <c r="E1321" i="11" s="1"/>
  <c r="E1369" i="11"/>
  <c r="E1373" i="11" s="1"/>
  <c r="E276" i="11"/>
  <c r="D434" i="11"/>
  <c r="E629" i="11"/>
  <c r="D665" i="11"/>
  <c r="B101" i="13" s="1"/>
  <c r="E1485" i="11"/>
  <c r="E1495" i="11"/>
  <c r="D1663" i="11"/>
  <c r="B203" i="13" s="1"/>
  <c r="E1804" i="11"/>
  <c r="E1812" i="11"/>
  <c r="D1860" i="11"/>
  <c r="B230" i="13" s="1"/>
  <c r="E1897" i="11"/>
  <c r="E2008" i="11"/>
  <c r="D2117" i="11"/>
  <c r="B196" i="13" s="1"/>
  <c r="E888" i="11"/>
  <c r="D897" i="11"/>
  <c r="B76" i="13" s="1"/>
  <c r="E924" i="11"/>
  <c r="E1169" i="11"/>
  <c r="E1201" i="11"/>
  <c r="E1329" i="11"/>
  <c r="E1419" i="11"/>
  <c r="D1504" i="11"/>
  <c r="B17" i="13" s="1"/>
  <c r="E1708" i="11"/>
  <c r="D1897" i="11"/>
  <c r="B90" i="13" s="1"/>
  <c r="E2000" i="11"/>
  <c r="D2135" i="11"/>
  <c r="B51" i="13" s="1"/>
  <c r="D2143" i="11"/>
  <c r="B41" i="13" s="1"/>
  <c r="D2151" i="11"/>
  <c r="B49" i="13" s="1"/>
  <c r="D2159" i="11"/>
  <c r="B200" i="13" s="1"/>
  <c r="D2168" i="11"/>
  <c r="B11" i="13" s="1"/>
  <c r="D1177" i="11"/>
  <c r="B36" i="13" s="1"/>
  <c r="E1514" i="11"/>
  <c r="D1522" i="11"/>
  <c r="B43" i="13" s="1"/>
  <c r="E1532" i="11"/>
  <c r="D1637" i="11"/>
  <c r="B34" i="13" s="1"/>
  <c r="D1716" i="11"/>
  <c r="B56" i="13" s="1"/>
  <c r="D1943" i="11"/>
  <c r="B194" i="13" s="1"/>
  <c r="D2052" i="11"/>
  <c r="B201" i="13" s="1"/>
  <c r="D986" i="11"/>
  <c r="B75" i="13" s="1"/>
  <c r="E1254" i="11"/>
  <c r="D1410" i="11"/>
  <c r="B198" i="13" s="1"/>
  <c r="E1466" i="11"/>
  <c r="E1905" i="11"/>
  <c r="E2024" i="11"/>
  <c r="E2079" i="11"/>
  <c r="E673" i="11"/>
  <c r="E852" i="11"/>
  <c r="D861" i="11"/>
  <c r="B18" i="13" s="1"/>
  <c r="E941" i="11"/>
  <c r="E1004" i="11"/>
  <c r="D1103" i="11"/>
  <c r="B227" i="13" s="1"/>
  <c r="E1112" i="11"/>
  <c r="D1211" i="11"/>
  <c r="B217" i="13" s="1"/>
  <c r="E1220" i="11"/>
  <c r="D1448" i="11"/>
  <c r="B86" i="13" s="1"/>
  <c r="D1476" i="11"/>
  <c r="B228" i="13" s="1"/>
  <c r="E1637" i="11"/>
  <c r="E1645" i="11"/>
  <c r="E1691" i="11"/>
  <c r="E1943" i="11"/>
  <c r="E1780" i="11"/>
  <c r="D1788" i="11"/>
  <c r="B107" i="13" s="1"/>
  <c r="D1804" i="11"/>
  <c r="B29" i="13" s="1"/>
  <c r="D1820" i="11"/>
  <c r="B197" i="13" s="1"/>
  <c r="E1982" i="11"/>
  <c r="D2008" i="11"/>
  <c r="B99" i="13" s="1"/>
  <c r="D2097" i="11"/>
  <c r="B79" i="13" s="1"/>
  <c r="E2106" i="11"/>
  <c r="E2117" i="11"/>
  <c r="Q10" i="2"/>
  <c r="Q13" i="2"/>
  <c r="Q16" i="2"/>
  <c r="Q5" i="2"/>
  <c r="Q12" i="2"/>
  <c r="Q9" i="2"/>
  <c r="Q11" i="2"/>
  <c r="B349" i="13"/>
  <c r="F16" i="3"/>
  <c r="B419" i="13"/>
  <c r="F16" i="5"/>
  <c r="J27" i="3"/>
  <c r="F27" i="5"/>
  <c r="D273" i="8"/>
  <c r="B402" i="13" s="1"/>
  <c r="D329" i="8"/>
  <c r="B412" i="13" s="1"/>
  <c r="D385" i="8"/>
  <c r="B401" i="13" s="1"/>
  <c r="B261" i="13"/>
  <c r="B28" i="5"/>
  <c r="F28" i="4"/>
  <c r="F17" i="4"/>
  <c r="B17" i="5"/>
  <c r="J17" i="4"/>
  <c r="B40" i="3"/>
  <c r="B180" i="13"/>
  <c r="F7" i="5"/>
  <c r="C19" i="6"/>
  <c r="B357" i="13"/>
  <c r="B368" i="13"/>
  <c r="K27" i="3"/>
  <c r="G27" i="5"/>
  <c r="D322" i="8"/>
  <c r="B382" i="13" s="1"/>
  <c r="D378" i="8"/>
  <c r="B400" i="13" s="1"/>
  <c r="D19" i="6"/>
  <c r="D33" i="6"/>
  <c r="D20" i="6"/>
  <c r="C38" i="4"/>
  <c r="C43" i="4" s="1"/>
  <c r="C5" i="3"/>
  <c r="D32" i="6"/>
  <c r="B344" i="13"/>
  <c r="B5" i="5"/>
  <c r="C43" i="6"/>
  <c r="C54" i="6"/>
  <c r="B16" i="3"/>
  <c r="D19" i="7"/>
  <c r="D74" i="7"/>
  <c r="F27" i="4"/>
  <c r="D133" i="7"/>
  <c r="B364" i="13" s="1"/>
  <c r="D154" i="7"/>
  <c r="B337" i="13" s="1"/>
  <c r="D223" i="7"/>
  <c r="B376" i="13" s="1"/>
  <c r="D242" i="7"/>
  <c r="B335" i="13" s="1"/>
  <c r="D286" i="7"/>
  <c r="B328" i="13" s="1"/>
  <c r="D312" i="7"/>
  <c r="B372" i="13" s="1"/>
  <c r="K16" i="3"/>
  <c r="K5" i="3"/>
  <c r="D280" i="8"/>
  <c r="B403" i="13" s="1"/>
  <c r="D301" i="8"/>
  <c r="B413" i="13" s="1"/>
  <c r="D336" i="8"/>
  <c r="B380" i="13" s="1"/>
  <c r="D357" i="8"/>
  <c r="B379" i="13" s="1"/>
  <c r="D43" i="6"/>
  <c r="D54" i="6"/>
  <c r="C16" i="3"/>
  <c r="C5" i="5"/>
  <c r="D53" i="7"/>
  <c r="D67" i="7"/>
  <c r="D107" i="7"/>
  <c r="B361" i="13"/>
  <c r="J5" i="4"/>
  <c r="D127" i="7"/>
  <c r="B362" i="13" s="1"/>
  <c r="D216" i="7"/>
  <c r="B329" i="13" s="1"/>
  <c r="D262" i="7"/>
  <c r="B350" i="13" s="1"/>
  <c r="D268" i="7"/>
  <c r="B339" i="13" s="1"/>
  <c r="D280" i="7"/>
  <c r="B331" i="13" s="1"/>
  <c r="D330" i="7"/>
  <c r="B340" i="13" s="1"/>
  <c r="D6" i="8"/>
  <c r="D20" i="8"/>
  <c r="D34" i="8"/>
  <c r="B385" i="13" s="1"/>
  <c r="B293" i="13"/>
  <c r="D139" i="9"/>
  <c r="B273" i="13" s="1"/>
  <c r="D153" i="9"/>
  <c r="B270" i="13" s="1"/>
  <c r="D438" i="11"/>
  <c r="B821" i="11"/>
  <c r="D821" i="11" s="1"/>
  <c r="D138" i="7"/>
  <c r="D140" i="7" s="1"/>
  <c r="D195" i="9"/>
  <c r="B308" i="13" s="1"/>
  <c r="D12" i="10"/>
  <c r="D64" i="10"/>
  <c r="B239" i="13" s="1"/>
  <c r="D112" i="10"/>
  <c r="B262" i="13" s="1"/>
  <c r="D8" i="11"/>
  <c r="D28" i="11"/>
  <c r="D48" i="11"/>
  <c r="B6" i="13" s="1"/>
  <c r="D68" i="11"/>
  <c r="B20" i="13" s="1"/>
  <c r="D397" i="11"/>
  <c r="B216" i="13" s="1"/>
  <c r="G17" i="3"/>
  <c r="G39" i="3"/>
  <c r="D181" i="9"/>
  <c r="B313" i="13" s="1"/>
  <c r="D216" i="9"/>
  <c r="B280" i="13" s="1"/>
  <c r="D244" i="9"/>
  <c r="B322" i="13" s="1"/>
  <c r="D272" i="9"/>
  <c r="B307" i="13" s="1"/>
  <c r="D300" i="9"/>
  <c r="B314" i="13" s="1"/>
  <c r="D328" i="9"/>
  <c r="B269" i="13" s="1"/>
  <c r="D356" i="9"/>
  <c r="B267" i="13" s="1"/>
  <c r="D5" i="10"/>
  <c r="D52" i="10"/>
  <c r="B251" i="13" s="1"/>
  <c r="D58" i="10"/>
  <c r="B248" i="13" s="1"/>
  <c r="D100" i="10"/>
  <c r="B259" i="13" s="1"/>
  <c r="D106" i="10"/>
  <c r="B252" i="13" s="1"/>
  <c r="D266" i="11"/>
  <c r="D377" i="11"/>
  <c r="B162" i="13" s="1"/>
  <c r="D405" i="11"/>
  <c r="B109" i="13" s="1"/>
  <c r="D209" i="9"/>
  <c r="B317" i="13" s="1"/>
  <c r="D237" i="9"/>
  <c r="B321" i="13" s="1"/>
  <c r="D265" i="9"/>
  <c r="B300" i="13" s="1"/>
  <c r="D293" i="9"/>
  <c r="B315" i="13" s="1"/>
  <c r="D349" i="9"/>
  <c r="B266" i="13" s="1"/>
  <c r="D377" i="9"/>
  <c r="B276" i="13" s="1"/>
  <c r="D398" i="9"/>
  <c r="B288" i="13" s="1"/>
  <c r="D160" i="10"/>
  <c r="B255" i="13" s="1"/>
  <c r="D108" i="11"/>
  <c r="B144" i="13" s="1"/>
  <c r="D128" i="11"/>
  <c r="D148" i="11"/>
  <c r="D197" i="11"/>
  <c r="D217" i="11"/>
  <c r="D296" i="11"/>
  <c r="B131" i="13" s="1"/>
  <c r="D335" i="11"/>
  <c r="D440" i="11"/>
  <c r="B823" i="11"/>
  <c r="D823" i="11" s="1"/>
  <c r="E443" i="11"/>
  <c r="D489" i="11"/>
  <c r="B158" i="13" s="1"/>
  <c r="D499" i="11"/>
  <c r="D536" i="11"/>
  <c r="B103" i="13" s="1"/>
  <c r="D545" i="11"/>
  <c r="B92" i="13" s="1"/>
  <c r="D554" i="11"/>
  <c r="B94" i="13" s="1"/>
  <c r="D565" i="11"/>
  <c r="B218" i="13" s="1"/>
  <c r="D593" i="11"/>
  <c r="B21" i="13" s="1"/>
  <c r="D602" i="11"/>
  <c r="B129" i="13" s="1"/>
  <c r="D611" i="11"/>
  <c r="B140" i="13" s="1"/>
  <c r="D620" i="11"/>
  <c r="B70" i="13" s="1"/>
  <c r="D870" i="11"/>
  <c r="B119" i="13" s="1"/>
  <c r="D950" i="11"/>
  <c r="B192" i="13" s="1"/>
  <c r="D1283" i="11"/>
  <c r="B165" i="13" s="1"/>
  <c r="D1356" i="11"/>
  <c r="B32" i="13" s="1"/>
  <c r="D682" i="11"/>
  <c r="B65" i="13" s="1"/>
  <c r="D710" i="11"/>
  <c r="B221" i="13" s="1"/>
  <c r="D728" i="11"/>
  <c r="B112" i="13" s="1"/>
  <c r="D747" i="11"/>
  <c r="B146" i="13" s="1"/>
  <c r="D764" i="11"/>
  <c r="B130" i="13" s="1"/>
  <c r="D834" i="11"/>
  <c r="B121" i="13" s="1"/>
  <c r="D843" i="11"/>
  <c r="B148" i="13" s="1"/>
  <c r="D879" i="11"/>
  <c r="B236" i="13" s="1"/>
  <c r="D888" i="11"/>
  <c r="B77" i="13" s="1"/>
  <c r="D968" i="11"/>
  <c r="B24" i="13" s="1"/>
  <c r="D1130" i="11"/>
  <c r="B105" i="13" s="1"/>
  <c r="D1193" i="11"/>
  <c r="B52" i="13" s="1"/>
  <c r="D1245" i="11"/>
  <c r="B58" i="13" s="1"/>
  <c r="D1303" i="11"/>
  <c r="B186" i="13" s="1"/>
  <c r="D1549" i="11"/>
  <c r="B7" i="13" s="1"/>
  <c r="D452" i="11"/>
  <c r="B69" i="13" s="1"/>
  <c r="D461" i="11"/>
  <c r="B63" i="13" s="1"/>
  <c r="D471" i="11"/>
  <c r="B155" i="13" s="1"/>
  <c r="D508" i="11"/>
  <c r="B30" i="13" s="1"/>
  <c r="D517" i="11"/>
  <c r="B147" i="13" s="1"/>
  <c r="D527" i="11"/>
  <c r="B154" i="13" s="1"/>
  <c r="D574" i="11"/>
  <c r="B16" i="13" s="1"/>
  <c r="D584" i="11"/>
  <c r="B219" i="13" s="1"/>
  <c r="D648" i="11"/>
  <c r="B163" i="13" s="1"/>
  <c r="D700" i="11"/>
  <c r="B66" i="13" s="1"/>
  <c r="D791" i="11"/>
  <c r="B10" i="13" s="1"/>
  <c r="D1159" i="11"/>
  <c r="B171" i="13" s="1"/>
  <c r="D1312" i="11"/>
  <c r="B55" i="13" s="1"/>
  <c r="D1532" i="11"/>
  <c r="B226" i="13" s="1"/>
  <c r="D933" i="11"/>
  <c r="B61" i="13" s="1"/>
  <c r="D941" i="11"/>
  <c r="B195" i="13" s="1"/>
  <c r="D1121" i="11"/>
  <c r="B91" i="13" s="1"/>
  <c r="D1201" i="11"/>
  <c r="B50" i="13" s="1"/>
  <c r="D1263" i="11"/>
  <c r="B141" i="13" s="1"/>
  <c r="D1273" i="11"/>
  <c r="B206" i="13" s="1"/>
  <c r="D1429" i="11"/>
  <c r="B125" i="13" s="1"/>
  <c r="D1439" i="11"/>
  <c r="B126" i="13" s="1"/>
  <c r="D1592" i="11"/>
  <c r="B9" i="13" s="1"/>
  <c r="D673" i="11"/>
  <c r="B25" i="13" s="1"/>
  <c r="E834" i="11"/>
  <c r="D959" i="11"/>
  <c r="B31" i="13" s="1"/>
  <c r="D995" i="11"/>
  <c r="B87" i="13" s="1"/>
  <c r="E1364" i="11"/>
  <c r="D1373" i="11"/>
  <c r="B19" i="13" s="1"/>
  <c r="D1485" i="11"/>
  <c r="B113" i="13" s="1"/>
  <c r="D1558" i="11"/>
  <c r="B15" i="13" s="1"/>
  <c r="D1602" i="11"/>
  <c r="B190" i="13" s="1"/>
  <c r="D1620" i="11"/>
  <c r="B71" i="13" s="1"/>
  <c r="E1653" i="11"/>
  <c r="E1716" i="11"/>
  <c r="D1724" i="11"/>
  <c r="B57" i="13" s="1"/>
  <c r="D1850" i="11"/>
  <c r="B231" i="13" s="1"/>
  <c r="D915" i="11"/>
  <c r="B115" i="13" s="1"/>
  <c r="D1139" i="11"/>
  <c r="B28" i="13" s="1"/>
  <c r="D1149" i="11"/>
  <c r="B173" i="13" s="1"/>
  <c r="D1185" i="11"/>
  <c r="B38" i="13" s="1"/>
  <c r="D1293" i="11"/>
  <c r="B185" i="13" s="1"/>
  <c r="D1321" i="11"/>
  <c r="B93" i="13" s="1"/>
  <c r="D1329" i="11"/>
  <c r="B39" i="13" s="1"/>
  <c r="D1383" i="11"/>
  <c r="B214" i="13" s="1"/>
  <c r="D1391" i="11"/>
  <c r="B124" i="13" s="1"/>
  <c r="E1476" i="11"/>
  <c r="D1568" i="11"/>
  <c r="B205" i="13" s="1"/>
  <c r="D1576" i="11"/>
  <c r="B177" i="13" s="1"/>
  <c r="D1628" i="11"/>
  <c r="B89" i="13" s="1"/>
  <c r="E1663" i="11"/>
  <c r="E1671" i="11"/>
  <c r="D1708" i="11"/>
  <c r="B210" i="13" s="1"/>
  <c r="D1734" i="11"/>
  <c r="B170" i="13" s="1"/>
  <c r="D1744" i="11"/>
  <c r="B167" i="13" s="1"/>
  <c r="B1874" i="11"/>
  <c r="D1874" i="11" s="1"/>
  <c r="D1905" i="11"/>
  <c r="B127" i="13" s="1"/>
  <c r="D977" i="11"/>
  <c r="B100" i="13" s="1"/>
  <c r="D1093" i="11"/>
  <c r="B235" i="13" s="1"/>
  <c r="D1237" i="11"/>
  <c r="B149" i="13" s="1"/>
  <c r="D1347" i="11"/>
  <c r="B88" i="13" s="1"/>
  <c r="D1401" i="11"/>
  <c r="B159" i="13" s="1"/>
  <c r="D1419" i="11"/>
  <c r="B122" i="13" s="1"/>
  <c r="D1540" i="11"/>
  <c r="B12" i="13" s="1"/>
  <c r="D1584" i="11"/>
  <c r="B8" i="13" s="1"/>
  <c r="E1734" i="11"/>
  <c r="E1744" i="11"/>
  <c r="D1762" i="11"/>
  <c r="B169" i="13" s="1"/>
  <c r="D1796" i="11"/>
  <c r="B110" i="13" s="1"/>
  <c r="D1830" i="11"/>
  <c r="B225" i="13" s="1"/>
  <c r="D1812" i="11"/>
  <c r="B199" i="13" s="1"/>
  <c r="D1914" i="11"/>
  <c r="B193" i="13" s="1"/>
  <c r="D2000" i="11"/>
  <c r="B98" i="13" s="1"/>
  <c r="D2016" i="11"/>
  <c r="B96" i="13" s="1"/>
  <c r="D2033" i="11"/>
  <c r="B175" i="13" s="1"/>
  <c r="D1924" i="11"/>
  <c r="B168" i="13" s="1"/>
  <c r="E16" i="12"/>
  <c r="E2029" i="11"/>
  <c r="E2033" i="11" s="1"/>
  <c r="E2164" i="11"/>
  <c r="E2168" i="11" s="1"/>
  <c r="E1910" i="11"/>
  <c r="E1914" i="11" s="1"/>
  <c r="E1752" i="11"/>
  <c r="E1788" i="11"/>
  <c r="E1820" i="11"/>
  <c r="E1924" i="11"/>
  <c r="E1934" i="11"/>
  <c r="E2143" i="11"/>
  <c r="D1780" i="11"/>
  <c r="B114" i="13" s="1"/>
  <c r="E1796" i="11"/>
  <c r="E1830" i="11"/>
  <c r="E1840" i="11"/>
  <c r="E1850" i="11"/>
  <c r="E1860" i="11"/>
  <c r="E1870" i="11"/>
  <c r="D1888" i="11"/>
  <c r="B23" i="13" s="1"/>
  <c r="D1972" i="11"/>
  <c r="B172" i="13" s="1"/>
  <c r="D1982" i="11"/>
  <c r="B204" i="13" s="1"/>
  <c r="D2061" i="11"/>
  <c r="B84" i="13" s="1"/>
  <c r="E2088" i="11"/>
  <c r="E1874" i="11"/>
  <c r="E1880" i="11" s="1"/>
  <c r="B1876" i="11"/>
  <c r="D1876" i="11" s="1"/>
  <c r="B1878" i="11"/>
  <c r="D1878" i="11" s="1"/>
  <c r="E2127" i="11"/>
  <c r="E2159" i="11"/>
  <c r="C32" i="5" l="1"/>
  <c r="G28" i="3"/>
  <c r="G32" i="3" s="1"/>
  <c r="K6" i="4"/>
  <c r="K10" i="4" s="1"/>
  <c r="F39" i="3"/>
  <c r="G6" i="4"/>
  <c r="G10" i="4" s="1"/>
  <c r="C28" i="3"/>
  <c r="C32" i="3" s="1"/>
  <c r="G43" i="3"/>
  <c r="F6" i="5"/>
  <c r="B263" i="13"/>
  <c r="J6" i="3"/>
  <c r="B346" i="13"/>
  <c r="B40" i="13"/>
  <c r="F17" i="5"/>
  <c r="C21" i="3"/>
  <c r="B39" i="3"/>
  <c r="B43" i="3" s="1"/>
  <c r="B358" i="13"/>
  <c r="G9" i="2"/>
  <c r="C17" i="5"/>
  <c r="C21" i="5" s="1"/>
  <c r="C6" i="6"/>
  <c r="F38" i="3"/>
  <c r="B18" i="3"/>
  <c r="B27" i="5"/>
  <c r="G17" i="4"/>
  <c r="G21" i="4" s="1"/>
  <c r="G28" i="4"/>
  <c r="G32" i="4" s="1"/>
  <c r="B116" i="13"/>
  <c r="D48" i="6"/>
  <c r="F5" i="3"/>
  <c r="K17" i="4"/>
  <c r="K21" i="4" s="1"/>
  <c r="E200" i="9"/>
  <c r="E202" i="9" s="1"/>
  <c r="E1343" i="11"/>
  <c r="E1347" i="11" s="1"/>
  <c r="E221" i="9"/>
  <c r="E223" i="9" s="1"/>
  <c r="G19" i="2"/>
  <c r="E396" i="9"/>
  <c r="E398" i="9" s="1"/>
  <c r="E165" i="9"/>
  <c r="E167" i="9" s="1"/>
  <c r="B18" i="5"/>
  <c r="B176" i="13"/>
  <c r="C32" i="6"/>
  <c r="K6" i="3"/>
  <c r="K10" i="3" s="1"/>
  <c r="G6" i="5"/>
  <c r="G10" i="5" s="1"/>
  <c r="K17" i="3"/>
  <c r="K21" i="3" s="1"/>
  <c r="B29" i="5"/>
  <c r="B5" i="3"/>
  <c r="B342" i="13"/>
  <c r="B21" i="5"/>
  <c r="F28" i="3"/>
  <c r="K32" i="3"/>
  <c r="D817" i="11"/>
  <c r="B26" i="13" s="1"/>
  <c r="G28" i="5"/>
  <c r="G32" i="5" s="1"/>
  <c r="G17" i="5"/>
  <c r="G21" i="5" s="1"/>
  <c r="F29" i="4"/>
  <c r="F32" i="4" s="1"/>
  <c r="D56" i="6"/>
  <c r="D59" i="6" s="1"/>
  <c r="C7" i="5"/>
  <c r="B128" i="13"/>
  <c r="J18" i="4"/>
  <c r="J6" i="4"/>
  <c r="J10" i="4" s="1"/>
  <c r="B303" i="13"/>
  <c r="B45" i="13"/>
  <c r="J29" i="3"/>
  <c r="C7" i="3"/>
  <c r="C10" i="3" s="1"/>
  <c r="D21" i="6"/>
  <c r="C10" i="5"/>
  <c r="B44" i="13"/>
  <c r="J18" i="3"/>
  <c r="B37" i="13"/>
  <c r="J7" i="3"/>
  <c r="D9" i="6"/>
  <c r="D12" i="6" s="1"/>
  <c r="C7" i="4"/>
  <c r="C10" i="4" s="1"/>
  <c r="B174" i="13"/>
  <c r="C56" i="6"/>
  <c r="B7" i="5"/>
  <c r="B232" i="13"/>
  <c r="C45" i="6"/>
  <c r="C18" i="4"/>
  <c r="C21" i="4" s="1"/>
  <c r="D34" i="6"/>
  <c r="D37" i="6" s="1"/>
  <c r="D22" i="6"/>
  <c r="J27" i="4"/>
  <c r="G18" i="3"/>
  <c r="G21" i="3" s="1"/>
  <c r="G7" i="3"/>
  <c r="G10" i="3" s="1"/>
  <c r="D826" i="11"/>
  <c r="B137" i="13" s="1"/>
  <c r="J28" i="3"/>
  <c r="J32" i="3" s="1"/>
  <c r="B189" i="13"/>
  <c r="F29" i="5"/>
  <c r="F32" i="5" s="1"/>
  <c r="B4" i="13"/>
  <c r="C21" i="6"/>
  <c r="B7" i="3"/>
  <c r="B414" i="13"/>
  <c r="F5" i="5"/>
  <c r="B359" i="13"/>
  <c r="F16" i="4"/>
  <c r="F21" i="4" s="1"/>
  <c r="E1545" i="11"/>
  <c r="E1549" i="11" s="1"/>
  <c r="E2066" i="11"/>
  <c r="E2070" i="11" s="1"/>
  <c r="E1767" i="11"/>
  <c r="E1771" i="11" s="1"/>
  <c r="E1500" i="11"/>
  <c r="E1504" i="11" s="1"/>
  <c r="E1089" i="11"/>
  <c r="E1093" i="11" s="1"/>
  <c r="E1616" i="11"/>
  <c r="E1620" i="11" s="1"/>
  <c r="E1554" i="11"/>
  <c r="E1558" i="11" s="1"/>
  <c r="E678" i="11"/>
  <c r="E682" i="11" s="1"/>
  <c r="E84" i="11"/>
  <c r="E88" i="11" s="1"/>
  <c r="E64" i="11"/>
  <c r="E68" i="11" s="1"/>
  <c r="E152" i="10"/>
  <c r="E154" i="10" s="1"/>
  <c r="E158" i="10"/>
  <c r="E160" i="10" s="1"/>
  <c r="E375" i="9"/>
  <c r="E377" i="9" s="1"/>
  <c r="E95" i="9"/>
  <c r="E97" i="9" s="1"/>
  <c r="E140" i="10"/>
  <c r="E142" i="10" s="1"/>
  <c r="E326" i="9"/>
  <c r="E328" i="9" s="1"/>
  <c r="E259" i="7"/>
  <c r="E262" i="7" s="1"/>
  <c r="B184" i="13"/>
  <c r="F18" i="5"/>
  <c r="F21" i="5" s="1"/>
  <c r="B42" i="13"/>
  <c r="F40" i="3"/>
  <c r="F43" i="3" s="1"/>
  <c r="B366" i="13"/>
  <c r="J16" i="4"/>
  <c r="B418" i="13"/>
  <c r="J16" i="3"/>
  <c r="J5" i="3"/>
  <c r="B352" i="13"/>
  <c r="B5" i="4"/>
  <c r="B62" i="13"/>
  <c r="C34" i="6"/>
  <c r="B18" i="4"/>
  <c r="C22" i="6"/>
  <c r="B40" i="4"/>
  <c r="B35" i="13"/>
  <c r="F18" i="3"/>
  <c r="F21" i="3" s="1"/>
  <c r="F7" i="3"/>
  <c r="F10" i="3" s="1"/>
  <c r="B247" i="13"/>
  <c r="C55" i="6"/>
  <c r="C7" i="6"/>
  <c r="B6" i="5"/>
  <c r="B6" i="4"/>
  <c r="B17" i="3"/>
  <c r="B21" i="3" s="1"/>
  <c r="B39" i="4"/>
  <c r="B43" i="4" s="1"/>
  <c r="B6" i="3"/>
  <c r="C33" i="6"/>
  <c r="B28" i="4"/>
  <c r="B32" i="4" s="1"/>
  <c r="C44" i="6"/>
  <c r="C48" i="6" s="1"/>
  <c r="C20" i="6"/>
  <c r="B17" i="4"/>
  <c r="D1880" i="11"/>
  <c r="B207" i="13" s="1"/>
  <c r="B139" i="13"/>
  <c r="J29" i="4"/>
  <c r="B345" i="13"/>
  <c r="B27" i="3"/>
  <c r="B78" i="13"/>
  <c r="F7" i="4"/>
  <c r="B14" i="13"/>
  <c r="B29" i="3"/>
  <c r="B249" i="13"/>
  <c r="F6" i="4"/>
  <c r="B28" i="3"/>
  <c r="D443" i="11"/>
  <c r="B135" i="13" s="1"/>
  <c r="C12" i="6"/>
  <c r="B341" i="13"/>
  <c r="F27" i="3"/>
  <c r="B353" i="13"/>
  <c r="B16" i="4"/>
  <c r="B32" i="5"/>
  <c r="J10" i="3" l="1"/>
  <c r="F32" i="3"/>
  <c r="J21" i="4"/>
  <c r="F10" i="5"/>
  <c r="G21" i="2"/>
  <c r="G22" i="2"/>
  <c r="C37" i="6"/>
  <c r="F10" i="4"/>
  <c r="J32" i="4"/>
  <c r="B10" i="3"/>
  <c r="B574" i="13" s="1"/>
  <c r="B10" i="5"/>
  <c r="B21" i="4"/>
  <c r="J21" i="3"/>
  <c r="D25" i="6"/>
  <c r="C25" i="6"/>
  <c r="C59" i="6"/>
  <c r="G26" i="1"/>
  <c r="G20" i="1"/>
  <c r="G8" i="1"/>
  <c r="G13" i="1"/>
  <c r="B32" i="3"/>
  <c r="B10" i="4"/>
  <c r="G20" i="2" l="1"/>
  <c r="G23" i="2" l="1"/>
  <c r="G24" i="2" l="1"/>
  <c r="K19" i="2"/>
  <c r="L31" i="2" s="1"/>
  <c r="N31" i="2" s="1"/>
  <c r="C77" i="2" l="1"/>
  <c r="K20" i="2"/>
  <c r="G25" i="2"/>
  <c r="G27" i="2" l="1"/>
  <c r="G26" i="2"/>
  <c r="G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1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Yhon Zamora:
</t>
        </r>
        <r>
          <rPr>
            <sz val="9"/>
            <color rgb="FF000000"/>
            <rFont val="Tahoma"/>
            <family val="2"/>
            <charset val="1"/>
          </rPr>
          <t xml:space="preserve">Se adiciona una valor para cambio de material de la pletina
</t>
        </r>
      </text>
    </comment>
  </commentList>
</comments>
</file>

<file path=xl/sharedStrings.xml><?xml version="1.0" encoding="utf-8"?>
<sst xmlns="http://schemas.openxmlformats.org/spreadsheetml/2006/main" count="8024" uniqueCount="2431">
  <si>
    <t>CODIFICACION DE PARTES DE AGITADOR</t>
  </si>
  <si>
    <t>P3-LICS</t>
  </si>
  <si>
    <t>CODIFICACION EJE</t>
  </si>
  <si>
    <t>SELECCIONAR TIPO DE ACOPLE</t>
  </si>
  <si>
    <t>SELECCIONAR SCHEDULE</t>
  </si>
  <si>
    <t>ESCRIBA LONGITUD EN mm</t>
  </si>
  <si>
    <t xml:space="preserve">SELECCIONAR DIAMETRO </t>
  </si>
  <si>
    <t>SELECCIONAR MATERIAL</t>
  </si>
  <si>
    <t>CODIGO</t>
  </si>
  <si>
    <t>BRIDADO</t>
  </si>
  <si>
    <t>SCH 40</t>
  </si>
  <si>
    <t>(4")</t>
  </si>
  <si>
    <t>Acero 316SS</t>
  </si>
  <si>
    <t>CODIFICACION ACOPLE BRIDADO</t>
  </si>
  <si>
    <t>SELECCIONAR DIAMETRO DE AGITADOR</t>
  </si>
  <si>
    <t>SELECCIONAR DIAMETRO DE EJE MOTOREDUCTOR (mm)</t>
  </si>
  <si>
    <t>4"</t>
  </si>
  <si>
    <t>ACERO 304SS</t>
  </si>
  <si>
    <t>CODIFICACION ACOPLE DIRECTO</t>
  </si>
  <si>
    <t>2"</t>
  </si>
  <si>
    <t>316SS</t>
  </si>
  <si>
    <t>EXISTE?</t>
  </si>
  <si>
    <t>CODIFICACION PROPELA</t>
  </si>
  <si>
    <t>SELECCIONAR TIPO DE PROPELA</t>
  </si>
  <si>
    <t>SELECCIONAR DIAMETRO DE PROPELA (mm)</t>
  </si>
  <si>
    <t>SELECCIONAR DIAMETRO DE EJE</t>
  </si>
  <si>
    <t>SELECCIONAR TIPO DE AJUSTE AL EJE</t>
  </si>
  <si>
    <t>CURVA TRIPALA - CT</t>
  </si>
  <si>
    <t>CASQUETE</t>
  </si>
  <si>
    <t>Acero inoxidable 316SS</t>
  </si>
  <si>
    <t>CODIFICACION AGITADOR</t>
  </si>
  <si>
    <t>PROPELA TIPO 1 (DE ABAJO HACIA ARRIBA)</t>
  </si>
  <si>
    <t>SELECCIONAR TIPO</t>
  </si>
  <si>
    <t>TIPO DE PROPELAS</t>
  </si>
  <si>
    <t>NÚMERO DE PROPELAS</t>
  </si>
  <si>
    <t>DIAMETRO (mm)</t>
  </si>
  <si>
    <t>VERTICAL</t>
  </si>
  <si>
    <t>PROPELA TIPO 2 (DE ARRIBA HACIA ABAJO)</t>
  </si>
  <si>
    <t>DIAMETRO</t>
  </si>
  <si>
    <t>NO APLICA</t>
  </si>
  <si>
    <r>
      <rPr>
        <b/>
        <sz val="11"/>
        <color rgb="FF000000"/>
        <rFont val="Calibri"/>
        <family val="2"/>
        <charset val="1"/>
      </rPr>
      <t xml:space="preserve">ESCRIBA LONGITUD </t>
    </r>
    <r>
      <rPr>
        <b/>
        <sz val="14"/>
        <color rgb="FF000000"/>
        <rFont val="Calibri"/>
        <family val="2"/>
        <charset val="1"/>
      </rPr>
      <t>EJE</t>
    </r>
    <r>
      <rPr>
        <b/>
        <sz val="11"/>
        <color rgb="FF000000"/>
        <rFont val="Calibri"/>
        <family val="2"/>
        <charset val="1"/>
      </rPr>
      <t xml:space="preserve"> EN mm</t>
    </r>
  </si>
  <si>
    <t>POTENCIA (Kw)</t>
  </si>
  <si>
    <t>ESCRIBA VELOCIDAD (rpm)</t>
  </si>
  <si>
    <t>ADICIONALES</t>
  </si>
  <si>
    <t>MANEJO VELOCIDAD</t>
  </si>
  <si>
    <t>ELEMENTO MOTRIZ</t>
  </si>
  <si>
    <t>LINTERNA</t>
  </si>
  <si>
    <t>VELOCIDAD REDUCIDA</t>
  </si>
  <si>
    <t>TRIFASICO</t>
  </si>
  <si>
    <t>Sin linterna</t>
  </si>
  <si>
    <t xml:space="preserve">SELLO </t>
  </si>
  <si>
    <t>MATERIAL</t>
  </si>
  <si>
    <t>ACABADO - RECUBRIMIENTO</t>
  </si>
  <si>
    <t>Sin sello</t>
  </si>
  <si>
    <t>NINGUNO</t>
  </si>
  <si>
    <t xml:space="preserve"> </t>
  </si>
  <si>
    <t>NOTAS DE SELECCIÓN</t>
  </si>
  <si>
    <t xml:space="preserve">MODELO DEL AGITADOR: </t>
  </si>
  <si>
    <t>FECHA</t>
  </si>
  <si>
    <t>ELABORO</t>
  </si>
  <si>
    <t>CÓDIGO</t>
  </si>
  <si>
    <t>DESCRIPCIÓN PIEZA</t>
  </si>
  <si>
    <t>CANT</t>
  </si>
  <si>
    <t>VALOR PARCIAL</t>
  </si>
  <si>
    <t>MOTOREDUCTOR</t>
  </si>
  <si>
    <t>RF47DRS80M4</t>
  </si>
  <si>
    <t>PROPELAS</t>
  </si>
  <si>
    <t>ACOPLE_BRIDADO</t>
  </si>
  <si>
    <t>AB-4-70</t>
  </si>
  <si>
    <t>EJE_TUBULAR</t>
  </si>
  <si>
    <t>EJBC350IS</t>
  </si>
  <si>
    <t>Sujeta a cambios dependiendo el tamaño del eje del MR</t>
  </si>
  <si>
    <t>PLETINAS</t>
  </si>
  <si>
    <t>PL-500-075-350</t>
  </si>
  <si>
    <t>PERNOS</t>
  </si>
  <si>
    <t>PERNOS AG GRANDE</t>
  </si>
  <si>
    <t xml:space="preserve">Para </t>
  </si>
  <si>
    <t>PLACA</t>
  </si>
  <si>
    <t>PLACAS AG.</t>
  </si>
  <si>
    <t>OTROS</t>
  </si>
  <si>
    <t>EMPAQUE (MADERA)</t>
  </si>
  <si>
    <t>EMPAQUE (MANO DE OBRA)</t>
  </si>
  <si>
    <t>PRUEBAS y DOCUMENTACION</t>
  </si>
  <si>
    <t>PINTURA</t>
  </si>
  <si>
    <t xml:space="preserve">DÓLAR </t>
  </si>
  <si>
    <t>Imprevistos</t>
  </si>
  <si>
    <t>SI</t>
  </si>
  <si>
    <t>NO</t>
  </si>
  <si>
    <t>MARGEN GLOBAL BASE MATERIALES</t>
  </si>
  <si>
    <t>V2AB-06A137</t>
  </si>
  <si>
    <t>V2AI-16E072</t>
  </si>
  <si>
    <t>V2AI-24H108</t>
  </si>
  <si>
    <t>Elemento</t>
  </si>
  <si>
    <t>Precio</t>
  </si>
  <si>
    <t>PESO (KG)</t>
  </si>
  <si>
    <t>MR 0.25kW @ 140,4 RPM  SK0721IEC71SK71S4</t>
  </si>
  <si>
    <t>MR 1,1kW @ 72 RPM SK5721IEC90SK90S4</t>
  </si>
  <si>
    <t>MR 3kW @ 108RPM SK7721IEC100SK100LA4</t>
  </si>
  <si>
    <t>Pletina 210 * 1/4"</t>
  </si>
  <si>
    <t>Pletina 350 * 1/4"</t>
  </si>
  <si>
    <t>EJE EJDA065B</t>
  </si>
  <si>
    <t>EJE EJDA160E</t>
  </si>
  <si>
    <t>EJE EJBC240G</t>
  </si>
  <si>
    <t>ACOPLE AD-020-025</t>
  </si>
  <si>
    <t>ACOPLE AD-035-050</t>
  </si>
  <si>
    <t>ACOPLE AB-3-040</t>
  </si>
  <si>
    <t>PROPELA  P2-BBM</t>
  </si>
  <si>
    <t>PROPELA  P2-JEM</t>
  </si>
  <si>
    <t>PROPELA  P2-JGC</t>
  </si>
  <si>
    <t>PLACAS</t>
  </si>
  <si>
    <t>TORNILLOS AG PEQUEÑO</t>
  </si>
  <si>
    <t>TORNILLOS AG MEDIANO</t>
  </si>
  <si>
    <t>TOTAL MATERIALES</t>
  </si>
  <si>
    <t>V2AD-09A137</t>
  </si>
  <si>
    <t>V2AI-18F077</t>
  </si>
  <si>
    <t>V2AJ-24H088</t>
  </si>
  <si>
    <t>MR 1,5kW @ 76,8 RPM SK5721IEC90SK90L4</t>
  </si>
  <si>
    <t>MR 3kW @ 88RPM  SK7721IEC100SK100LA4</t>
  </si>
  <si>
    <t>EJE EJDA090B</t>
  </si>
  <si>
    <t>EJE EJDA180E</t>
  </si>
  <si>
    <t>PROPELA  P2-DBM</t>
  </si>
  <si>
    <t>PROPELA  P2-kGC</t>
  </si>
  <si>
    <t>TOTAL</t>
  </si>
  <si>
    <t>V2AD-11C192</t>
  </si>
  <si>
    <t>V2AJ-20B046</t>
  </si>
  <si>
    <t>V2AJ-26J102</t>
  </si>
  <si>
    <t>MR 0.55kW @ 190 RPM SK1721IEC80SK80S4</t>
  </si>
  <si>
    <t>MR 0,37kW @ 46RPM  SK3721IEC71SK71L4</t>
  </si>
  <si>
    <t>MR 5,5kW @ 102RPM  SK8721IEC132SK132S4</t>
  </si>
  <si>
    <t>Pletina 350 * 3/8"</t>
  </si>
  <si>
    <t>EJE EJDA109C</t>
  </si>
  <si>
    <t>EJE EJDA200D</t>
  </si>
  <si>
    <t>EJE EJBC270I</t>
  </si>
  <si>
    <t>ACOPLE AD-020-032</t>
  </si>
  <si>
    <t>ACOPLE AD-025-038</t>
  </si>
  <si>
    <t>ACOPLE AB-4-050</t>
  </si>
  <si>
    <t>PROPELA  P2-DCM</t>
  </si>
  <si>
    <t>PROPELA  P2-KDM</t>
  </si>
  <si>
    <t>PROPELA  P2-KIC</t>
  </si>
  <si>
    <t>V2AG-14C086</t>
  </si>
  <si>
    <t>V2AJ-21E063</t>
  </si>
  <si>
    <t>MR 0.55kW @ 85 RPM – RF37DRS71M4</t>
  </si>
  <si>
    <t>MR 1,1kW @ 63RPM  SK5721IEC90SK90S4</t>
  </si>
  <si>
    <t>EJE EJDA145C</t>
  </si>
  <si>
    <t>EJE EJDA210E</t>
  </si>
  <si>
    <t>ACOPLE AD-025-032</t>
  </si>
  <si>
    <t>PROPELA  P2-HCM</t>
  </si>
  <si>
    <t>PROPELA  P2-KEM</t>
  </si>
  <si>
    <t>V3AB-06B293</t>
  </si>
  <si>
    <t>V3AF-13D129</t>
  </si>
  <si>
    <t>V3AJ-20F159</t>
  </si>
  <si>
    <t>MR 0.37kW @ 293 RPM RF07DRS71S4</t>
  </si>
  <si>
    <t>MR 0.75kW @ 129 RPM RF27DRS80S4</t>
  </si>
  <si>
    <t>MR 1,5kW @ 159 RPM SK12-90L/4</t>
  </si>
  <si>
    <t>EJE EJDA059B</t>
  </si>
  <si>
    <t>EJE EJDA135C</t>
  </si>
  <si>
    <t>EJE EJDA206D</t>
  </si>
  <si>
    <t>PROPELA  P3-BBM</t>
  </si>
  <si>
    <t>PROPELA  P3-GCM</t>
  </si>
  <si>
    <t>PROPELA  P3-KDC</t>
  </si>
  <si>
    <t>V3AC-09A189</t>
  </si>
  <si>
    <t>V3AH-16G118</t>
  </si>
  <si>
    <t>V3AK-26G118</t>
  </si>
  <si>
    <t>MR 0.25kW @ 189 RPM RF07DRS71S4</t>
  </si>
  <si>
    <t>MR 2,2kW @ 118 RPM RF47DRS90L4</t>
  </si>
  <si>
    <t>EJE EJDA086B</t>
  </si>
  <si>
    <t>EJE EJDA162E</t>
  </si>
  <si>
    <t>EJE EJDA260E</t>
  </si>
  <si>
    <t>ACOPLE AD-030-050</t>
  </si>
  <si>
    <t>PROPELA  P3-CBM</t>
  </si>
  <si>
    <t>PROPELA  P3-IEM</t>
  </si>
  <si>
    <t>PROPELA  P3-LEC</t>
  </si>
  <si>
    <t>TORNILLOS AG GRANDE</t>
  </si>
  <si>
    <t>V3AE-11B120</t>
  </si>
  <si>
    <t>V3AI-18F089</t>
  </si>
  <si>
    <t>V3AL-26H095</t>
  </si>
  <si>
    <t>MR 0.37kW @ 120 RPM RF07DRS71S4</t>
  </si>
  <si>
    <t>MR 1,5kW @ 89 RPM RF47DRS90M4</t>
  </si>
  <si>
    <t>MR 3kW @ 95 RPM RF67DRS100M4</t>
  </si>
  <si>
    <t>Pletina 250 * 1/4"</t>
  </si>
  <si>
    <t>EJE EJDA108B</t>
  </si>
  <si>
    <t>EJE EJDA184E</t>
  </si>
  <si>
    <t>EJE EJDA264E</t>
  </si>
  <si>
    <t>PROPELA  P3-EBM</t>
  </si>
  <si>
    <t>PROPELA  P3-JEC</t>
  </si>
  <si>
    <t>PROPELA  P3-MEC</t>
  </si>
  <si>
    <t>V3AC-06A163</t>
  </si>
  <si>
    <t>MR 0.25kW @ 163 RPM SK072</t>
  </si>
  <si>
    <t>Pletina 170 * 1/4"</t>
  </si>
  <si>
    <t>V4AE-09B107</t>
  </si>
  <si>
    <t>V4AK-27G053</t>
  </si>
  <si>
    <t>MR 0.37 kW @ 107 RPM  RF17DRS71S4</t>
  </si>
  <si>
    <t>MR 2,2 kW @ 53 RPM  RF77DRS90L4</t>
  </si>
  <si>
    <t>Pletina 300 * 1/4"</t>
  </si>
  <si>
    <t>EJE EJBC270G</t>
  </si>
  <si>
    <t>ACOPLE AB-3-40</t>
  </si>
  <si>
    <t>PROPELA  P4-EBM</t>
  </si>
  <si>
    <t>PROPELA  P4-LGC</t>
  </si>
  <si>
    <t>V4AH-12E068</t>
  </si>
  <si>
    <t>V4AL-27H043</t>
  </si>
  <si>
    <t>MR 1,1 kW @ 68 RPM  SK1 SMI 63</t>
  </si>
  <si>
    <t>MR 3 kW @ 43 RPM  RF87DRS100M4</t>
  </si>
  <si>
    <t>EJE EJDA125E</t>
  </si>
  <si>
    <t>ACOPLE AB-4-50</t>
  </si>
  <si>
    <t>PROPELA  P4-IEC</t>
  </si>
  <si>
    <t>PROPELA  P4-MIC</t>
  </si>
  <si>
    <t>V4AJ-21E065</t>
  </si>
  <si>
    <t>V4AV-27H033</t>
  </si>
  <si>
    <t>MR 1,1 kW @ 65 RPM  RF47DRS80M4</t>
  </si>
  <si>
    <t>MR 3 kW @ 33 RPM  RF87DRS100M4</t>
  </si>
  <si>
    <t>EJE EJDA216E</t>
  </si>
  <si>
    <t>PROPELA  P4-KEC</t>
  </si>
  <si>
    <t>PROPELA  P4-RIC</t>
  </si>
  <si>
    <t>VR23B-016/020</t>
  </si>
  <si>
    <t>MR 0,37 kW @ 325 RPM SF37DRS71S4</t>
  </si>
  <si>
    <t>EJE EJDA125B</t>
  </si>
  <si>
    <t>PROPELA  P2-ABM</t>
  </si>
  <si>
    <t>PROPELA P3-BBM</t>
  </si>
  <si>
    <t>V3AC2AB06A163</t>
  </si>
  <si>
    <t>PROPELA P3-CBM</t>
  </si>
  <si>
    <t>V6AE-09A085</t>
  </si>
  <si>
    <t>MR 0.25kW @ 85 RPM SK1SMI31</t>
  </si>
  <si>
    <t>PROPELA P0-EBM</t>
  </si>
  <si>
    <t>V4AE-09A085</t>
  </si>
  <si>
    <t>PROPELA P4-EBM</t>
  </si>
  <si>
    <t>EJDA065B</t>
  </si>
  <si>
    <t>Precio Unit.</t>
  </si>
  <si>
    <t>Cant.</t>
  </si>
  <si>
    <t>Parcial</t>
  </si>
  <si>
    <t>Peso (kg)</t>
  </si>
  <si>
    <t>Barra 1 " * 650 mm 304SS</t>
  </si>
  <si>
    <t>Mecanizado eje macizo 1"</t>
  </si>
  <si>
    <t>-</t>
  </si>
  <si>
    <t>EJDA090B</t>
  </si>
  <si>
    <t>Barra 1 " * 900 mm 304SS</t>
  </si>
  <si>
    <t>EJDA109C</t>
  </si>
  <si>
    <t>Barra 1 1/4" * 1090 mm 304SS</t>
  </si>
  <si>
    <t>Mecanizado eje macizo 1 1/4"</t>
  </si>
  <si>
    <t>EJDA145C</t>
  </si>
  <si>
    <t>Barra 1 1/4" * 1450 mm 304SS</t>
  </si>
  <si>
    <t>EJDA160E</t>
  </si>
  <si>
    <t>Barra 2" * 1600 mm 304SS</t>
  </si>
  <si>
    <t>EJDA106DS</t>
  </si>
  <si>
    <t>Barra 1 1/2 " * 1060  mm 316SS</t>
  </si>
  <si>
    <t>Mecanizado eje macizo 1 1/2"</t>
  </si>
  <si>
    <t>EJDA180E</t>
  </si>
  <si>
    <t>Barra 2 " * 1800 mm 304SS</t>
  </si>
  <si>
    <t>Mecanizado eje macizo 2"</t>
  </si>
  <si>
    <t>EJDA200D</t>
  </si>
  <si>
    <t>Barra 1 1/2 " * 2000 mm 304SS</t>
  </si>
  <si>
    <t>EJDA210E</t>
  </si>
  <si>
    <t>Barra 2 " * 2100 mm 304SS</t>
  </si>
  <si>
    <t>Mecanizado eje macizo2"</t>
  </si>
  <si>
    <t>EJDA059B</t>
  </si>
  <si>
    <t>Barra 1 " * 590 mm 304SS</t>
  </si>
  <si>
    <t>EJDA086B</t>
  </si>
  <si>
    <t>Barra 1 " * 860 mm 304SS</t>
  </si>
  <si>
    <t>EJDA135DS</t>
  </si>
  <si>
    <t>Barra 1 1/2 " * 1350  mm 316SS</t>
  </si>
  <si>
    <t>EJDA180D</t>
  </si>
  <si>
    <t>Barra 1 1/2 " * 1800  mm 304SS</t>
  </si>
  <si>
    <t>EJDA108B</t>
  </si>
  <si>
    <t>Barra 1 " * 1080 mm 304SS</t>
  </si>
  <si>
    <t>EJDA135C</t>
  </si>
  <si>
    <t>Barra 1 1/4 " * 1350  mm 304SS</t>
  </si>
  <si>
    <t>EJDA162E</t>
  </si>
  <si>
    <t>Barra 2 " * 1620  mm 304SS</t>
  </si>
  <si>
    <t>EJDA184E</t>
  </si>
  <si>
    <t>Barra 2 " * 1840  mm 304SS</t>
  </si>
  <si>
    <t>EJDA206D</t>
  </si>
  <si>
    <t>Barra 1 1/2 " * 2060  mm 304SS</t>
  </si>
  <si>
    <t>EJDA135D</t>
  </si>
  <si>
    <t>Barra 1 1/2 " * 1350  mm 304SS</t>
  </si>
  <si>
    <t>EJDA230D</t>
  </si>
  <si>
    <t>Barra 1 1/2 " * 2300  mm 304SS</t>
  </si>
  <si>
    <t>EJDA260E</t>
  </si>
  <si>
    <t>Barra 2 " * 2600  mm 304SS</t>
  </si>
  <si>
    <t>EJDA264E</t>
  </si>
  <si>
    <t>Barra 2 " * 2640  mm 304SS</t>
  </si>
  <si>
    <t>EJDA150E</t>
  </si>
  <si>
    <t>Barra 2 " * 1500  mm 304SS</t>
  </si>
  <si>
    <t>EJDA216E</t>
  </si>
  <si>
    <t>Barra 2 " * 2160  mm 304SS</t>
  </si>
  <si>
    <t>EJDA066C</t>
  </si>
  <si>
    <t>Barra 1 1/4 " * 660  mm 304SS</t>
  </si>
  <si>
    <t>EJDA125B</t>
  </si>
  <si>
    <t>Barra 1 " * 1250 mm 304SS</t>
  </si>
  <si>
    <t>EJDA120BS</t>
  </si>
  <si>
    <t>Barra 1 " * 1200 mm 316SS</t>
  </si>
  <si>
    <t>EJDA125E</t>
  </si>
  <si>
    <t>Barra 2 " * 1250  mm 304SS</t>
  </si>
  <si>
    <t>EJDA060BS</t>
  </si>
  <si>
    <t>Barra 1 " * 650 mm 316SS</t>
  </si>
  <si>
    <t>EJDA100C</t>
  </si>
  <si>
    <t>Barra 1 1/4 " * 1000  mm 304SS</t>
  </si>
  <si>
    <t>EJDA100B</t>
  </si>
  <si>
    <t>Barra 1 " * 1000  mm 304SS</t>
  </si>
  <si>
    <t>Mecanizado eje macizo 1 "</t>
  </si>
  <si>
    <t>EJDA220D</t>
  </si>
  <si>
    <t>Barra 1 1/2 " * 2200  mm 304SS</t>
  </si>
  <si>
    <t>EJDA100D</t>
  </si>
  <si>
    <t>Barra 1 1/2 " * 1000  mm 304SS</t>
  </si>
  <si>
    <t>EJBA120E</t>
  </si>
  <si>
    <t>Barra 2 " * 1200  mm 304SS</t>
  </si>
  <si>
    <t>Brida ciega 2"</t>
  </si>
  <si>
    <t>Mecanizado eje macizo bridado 2"</t>
  </si>
  <si>
    <t>EJBA130E</t>
  </si>
  <si>
    <t>Barra 2 " * 1300  mm 304SS</t>
  </si>
  <si>
    <t>EJDA070E</t>
  </si>
  <si>
    <t>Barra 2 " * 700  mm 304SS</t>
  </si>
  <si>
    <t>EJDA150D</t>
  </si>
  <si>
    <t>Barra 1 1/2 " * 1500  mm 304SS</t>
  </si>
  <si>
    <t>EJBA120D</t>
  </si>
  <si>
    <t>Barra 1 1/2 " * 1200  mm 304SS</t>
  </si>
  <si>
    <t>Brida ciega 1 1/2"</t>
  </si>
  <si>
    <t>Mecanizado eje macizo bridado 1 1/2"</t>
  </si>
  <si>
    <t>EJDA150B</t>
  </si>
  <si>
    <t>Barra 1 " * 1500 mm 304SS</t>
  </si>
  <si>
    <t>EJBA150ES</t>
  </si>
  <si>
    <t>Barra 2 " * 1500  mm 316SS</t>
  </si>
  <si>
    <t>EJDA200C</t>
  </si>
  <si>
    <t>EJDA150C</t>
  </si>
  <si>
    <t>Barra 1 1/4 " * 1500 mm 304SS</t>
  </si>
  <si>
    <t>EJDA100E</t>
  </si>
  <si>
    <t>Barra 2 " * 1000  mm 304SS</t>
  </si>
  <si>
    <t>EJDA100CS</t>
  </si>
  <si>
    <t>Barra 1 1/4 " * 1000  mm 316SS</t>
  </si>
  <si>
    <t>EJDA100BS</t>
  </si>
  <si>
    <t>Barra 1 " * 1000  mm 316SS</t>
  </si>
  <si>
    <t>EJDA200B</t>
  </si>
  <si>
    <t>Barra 1 " * 2000 mm 304SS</t>
  </si>
  <si>
    <t>EJBA200C</t>
  </si>
  <si>
    <t>Barra 1 1/4 " * 2000  mm 304SS</t>
  </si>
  <si>
    <t>Brida ciega 1 1/4"</t>
  </si>
  <si>
    <t>Mecanizado eje macizo bridado 1 1/4"</t>
  </si>
  <si>
    <t>EJBA100E</t>
  </si>
  <si>
    <t>EJDA150CS</t>
  </si>
  <si>
    <t>Barra 1 1/4 " * 1500 mm 316SS</t>
  </si>
  <si>
    <t>EJDA150DS</t>
  </si>
  <si>
    <t>Barra 1 1/2 " * 1500  mm 316SS</t>
  </si>
  <si>
    <t>EJDA200CS</t>
  </si>
  <si>
    <t>EJDA100DS</t>
  </si>
  <si>
    <t>Barra 1 1/2 " * 1000 mm 316</t>
  </si>
  <si>
    <t>EJBC240G</t>
  </si>
  <si>
    <t>Precio Unit</t>
  </si>
  <si>
    <t>Brida ciega de 3" 304SS</t>
  </si>
  <si>
    <t>Tubo de 3" SCH 40 304SS 2400 mm</t>
  </si>
  <si>
    <t>Maquinado de eje tubular de 3"</t>
  </si>
  <si>
    <t>EJBC270I</t>
  </si>
  <si>
    <t>Brida ciega de 4" 304SS</t>
  </si>
  <si>
    <t>Tubo de 4" SCH 40 304SS 2700 mm</t>
  </si>
  <si>
    <t>Maquinado de eje tubular de 4"</t>
  </si>
  <si>
    <t>EJBC270G</t>
  </si>
  <si>
    <t>Tubo de 3" SCH 40 304SS  2700 mm</t>
  </si>
  <si>
    <t>EJBC740JR</t>
  </si>
  <si>
    <t>Brida ciega de 6" A36</t>
  </si>
  <si>
    <t>Tubo de 6" SCH 40 A36 7400 mm</t>
  </si>
  <si>
    <t>Maquinado de eje tubular de 6"</t>
  </si>
  <si>
    <t>EJBC200G</t>
  </si>
  <si>
    <t>Tubo de 3" SCH 40 304SS 2000 mm</t>
  </si>
  <si>
    <t>EJBC200F</t>
  </si>
  <si>
    <t>Brida ciega de 2 1/2" 304SS</t>
  </si>
  <si>
    <t>Tubo de 2 1/2" SCH 40 304SS 2000 mm</t>
  </si>
  <si>
    <t>Maquinado de eje tubular de 2 1/2"</t>
  </si>
  <si>
    <t>EJBC420I</t>
  </si>
  <si>
    <t>Tubo de 4" SCH 40 304SS 4200 mm</t>
  </si>
  <si>
    <t>EJBC370IS</t>
  </si>
  <si>
    <t>Brida ciega de 4" 316SS</t>
  </si>
  <si>
    <t>Tubo de 4" SCH 40 316SS 3700 mm</t>
  </si>
  <si>
    <t>EJBC440KS</t>
  </si>
  <si>
    <t>Brida ciega de 8" 316SS</t>
  </si>
  <si>
    <t>Tubo de 8" SCH 40 316SS  4400 mm</t>
  </si>
  <si>
    <t>Maquinado de eje tubular de 8"</t>
  </si>
  <si>
    <t>EJBC180F</t>
  </si>
  <si>
    <t>Tubo de 2 1/2" SCH 40 304SS 1800 mm</t>
  </si>
  <si>
    <t>EJBC410JS</t>
  </si>
  <si>
    <t>Brida ciega de 6" 316SS</t>
  </si>
  <si>
    <t>Tubo de 6" SCH 40 316SS  4100 mm</t>
  </si>
  <si>
    <t>EJBC580J</t>
  </si>
  <si>
    <t>Brida ciega de 6" 304SS</t>
  </si>
  <si>
    <t>Tubo de 6" SCH 40 304SS  4100 mm</t>
  </si>
  <si>
    <t>EJBC430IS</t>
  </si>
  <si>
    <t>Tubo de 4" SCH 40 316SS 4300 mm</t>
  </si>
  <si>
    <t>EJBC170IS</t>
  </si>
  <si>
    <t>EJBC340IS</t>
  </si>
  <si>
    <t>Tubo de 4" SCH 40 316SS 3400 mm</t>
  </si>
  <si>
    <t>EJBC370F</t>
  </si>
  <si>
    <t>Tubo de 2 1/2" SCH 40 304SS 3700 mm</t>
  </si>
  <si>
    <t>EJBC380G</t>
  </si>
  <si>
    <t>Tubo de 3" SCH 40 304SS 3800 mm</t>
  </si>
  <si>
    <t>EJBC300K</t>
  </si>
  <si>
    <t>Brida ciega de 8" 304SS</t>
  </si>
  <si>
    <t>Tubo de 8" SCH 40 304SS 3000 mm</t>
  </si>
  <si>
    <t>EJBC300KS</t>
  </si>
  <si>
    <t>Tubo de 8" SCH 40 316SS 3000 mm</t>
  </si>
  <si>
    <t>EJBC220IS</t>
  </si>
  <si>
    <t>Tubo de 4" SCH 40 316SS 2200 mm</t>
  </si>
  <si>
    <t>EJBC330E</t>
  </si>
  <si>
    <t>Brida ciega 2" 304SS</t>
  </si>
  <si>
    <t>Tubo 2 " SCH 40 3300  mm 304SS</t>
  </si>
  <si>
    <t>Mecanizado eje tubular  2"</t>
  </si>
  <si>
    <t>EJBC830KR</t>
  </si>
  <si>
    <t>Brida ciega de 8" A36</t>
  </si>
  <si>
    <t>Tubo de 8" SCH 40 A36 8300 mm</t>
  </si>
  <si>
    <t>Maquinado de eje tubular de 8" 3 BRIDAS</t>
  </si>
  <si>
    <t>EJBC420G</t>
  </si>
  <si>
    <t>Tubo de 3" SCH 40 304SS 4200 mm</t>
  </si>
  <si>
    <t>Tubo de 4" SCH 40 316SS 3,5 m max</t>
  </si>
  <si>
    <t>EJBC350GS</t>
  </si>
  <si>
    <t>Brida ciega de 3" 316SS</t>
  </si>
  <si>
    <t>Tubo de 3" SCH 40 316SS 3800 mm</t>
  </si>
  <si>
    <t>EJBC550F</t>
  </si>
  <si>
    <t>Tubo de 2 1/2" SCH 40 304SS 5500 mm</t>
  </si>
  <si>
    <t>EJBC350G</t>
  </si>
  <si>
    <t>Tubo de 3" SCH 40 304SS  3000-3500 mm</t>
  </si>
  <si>
    <t>EJBC580I</t>
  </si>
  <si>
    <t>EJBC350I</t>
  </si>
  <si>
    <t>Tubo de 4" SCH 40 304SS 3500 mm</t>
  </si>
  <si>
    <t>EJBC350J</t>
  </si>
  <si>
    <t>Tubo de 6" SCH 40 304SS  2000-3500 mm</t>
  </si>
  <si>
    <t>EJBC200E</t>
  </si>
  <si>
    <t>Brida ciega de 2" 304SS</t>
  </si>
  <si>
    <t>Tubo de 2" SCH 40 304SS  HASTA 2000 mm</t>
  </si>
  <si>
    <t>Maquinado de eje tubular de 2"</t>
  </si>
  <si>
    <t>EJBC350FS</t>
  </si>
  <si>
    <t>Brida ciega de 2 1/2" 316SS</t>
  </si>
  <si>
    <t>Tubo de 2 1/2" SCH 40 316SS 3500 mm</t>
  </si>
  <si>
    <t>EJBC580K</t>
  </si>
  <si>
    <t>Tubo de 8" SCH 40 304SS 5800 mm</t>
  </si>
  <si>
    <t>EJBC580IS</t>
  </si>
  <si>
    <t>Tubo de 4" SCH 40 316SS 5,8 m max</t>
  </si>
  <si>
    <t>EJBC580JS</t>
  </si>
  <si>
    <t>Tubo de 6" SCH 40 316SS  5800 mm</t>
  </si>
  <si>
    <t>EJBC350F</t>
  </si>
  <si>
    <t>Tubo de 2 1/2" SCH 40 304SS 3500 mm</t>
  </si>
  <si>
    <t>EJBC580F</t>
  </si>
  <si>
    <t>Tubo de 2 1/2" SCH 40 304SS 5800 mm</t>
  </si>
  <si>
    <t>EJBC350E</t>
  </si>
  <si>
    <t>Brida ciega de 2 " 304SS</t>
  </si>
  <si>
    <t>Tubo de 2 " SCH 40 304SS 3500 mm</t>
  </si>
  <si>
    <t>Maquinado de eje tubular de 2 "</t>
  </si>
  <si>
    <t>EJBC350L</t>
  </si>
  <si>
    <t>Brida ciega de 10 " 304SS</t>
  </si>
  <si>
    <t>Tubo de 10 " SCH 40 304SS 3500 mm</t>
  </si>
  <si>
    <t>Maquinado de eje tubular de 10 "</t>
  </si>
  <si>
    <t>EJBC350LS</t>
  </si>
  <si>
    <t>Brida ciega de 10 " 316SS</t>
  </si>
  <si>
    <t>Tubo de 10 " SCH 40 316SS 3500 mm</t>
  </si>
  <si>
    <t>EJBC580G</t>
  </si>
  <si>
    <t>Tubo de 3" SCH 40 304SS 5800 mm</t>
  </si>
  <si>
    <t>EJBC200I</t>
  </si>
  <si>
    <t>EJBC580M</t>
  </si>
  <si>
    <t>Brida S-O de 5" 304SS</t>
  </si>
  <si>
    <t>Tubo de 5" SCH 40 304SS 5800 mm</t>
  </si>
  <si>
    <t>Maquinado de eje tubular de 5"</t>
  </si>
  <si>
    <t>EJBC580FS</t>
  </si>
  <si>
    <t>Tubo de 2 1/2" SCH 40 316 SS 5800 mm</t>
  </si>
  <si>
    <t>EJBC200FS</t>
  </si>
  <si>
    <t>Tubo de 2 1/2" SCH 40 316SS 2000 mm</t>
  </si>
  <si>
    <t>EJBC200ES</t>
  </si>
  <si>
    <t>Brida ciega de 2" 316SS</t>
  </si>
  <si>
    <t>Tubo de 2" SCH 40 316SS  HASTA 2000 mm</t>
  </si>
  <si>
    <t>EJBC580KS</t>
  </si>
  <si>
    <t>Tubo de 8" SCH 40 316SS 5800 mm</t>
  </si>
  <si>
    <t>EJBC200DS</t>
  </si>
  <si>
    <t>Brida ciega de 1 1/2" 316SS</t>
  </si>
  <si>
    <t>Tubo de 1 1/2" SCH 40 316SS  HASTA 2000 mm</t>
  </si>
  <si>
    <t>Maquinado de eje tubular de 1 1/2"</t>
  </si>
  <si>
    <t>EJBC350D</t>
  </si>
  <si>
    <t>Brida ciega de 1 1/2" 304SS</t>
  </si>
  <si>
    <t>Tubo de 1 1/2" SCH 40 304SS  HASTA 3500 mm</t>
  </si>
  <si>
    <t>EJBC200J</t>
  </si>
  <si>
    <t>Tubo de 6" SCH 40 304SS 2000 mm</t>
  </si>
  <si>
    <t>EJBC200D</t>
  </si>
  <si>
    <t>Tubo de 1 1/2" SCH 40 304SS  HASTA 2000 mm</t>
  </si>
  <si>
    <t>EJBC350ES</t>
  </si>
  <si>
    <t>Brida ciega de 2 " 316SS</t>
  </si>
  <si>
    <t>Tubo de 2 " SCH 40 316SS 3500 mm</t>
  </si>
  <si>
    <t>EJBC200GS</t>
  </si>
  <si>
    <t>Tubo de 3" SCH 40 316SS 2000 mm</t>
  </si>
  <si>
    <t>EJBC350JS</t>
  </si>
  <si>
    <t>Tubo de 6" SCH 40 316SS  2000-3500 mm</t>
  </si>
  <si>
    <t>EJBC350KS</t>
  </si>
  <si>
    <t>Tubo de 8" SCH 40 316SS  2000-3500 mm</t>
  </si>
  <si>
    <t>EJBC200IS</t>
  </si>
  <si>
    <t>Tubo de 4" SCH 40 316SS 3500 mm</t>
  </si>
  <si>
    <t>AB-4-60</t>
  </si>
  <si>
    <t>Barra 4 " * 160 mm 304SS</t>
  </si>
  <si>
    <t>Mecanizado acople bridado 4"</t>
  </si>
  <si>
    <t>AB-4-50</t>
  </si>
  <si>
    <t>Barra 4 " * 140 mm 304SS</t>
  </si>
  <si>
    <t>AB-3-50</t>
  </si>
  <si>
    <t>Barra 3 " * 135 mm 304SS</t>
  </si>
  <si>
    <t>Mecanizado acople bridado 3"</t>
  </si>
  <si>
    <t>AB-3-40</t>
  </si>
  <si>
    <t>Barra 3 " * 115 mm 304SS</t>
  </si>
  <si>
    <t>AB-6-60-R</t>
  </si>
  <si>
    <t>Barra 6 " * 170 mm A36</t>
  </si>
  <si>
    <t>Mecanizado acople bridado 6"</t>
  </si>
  <si>
    <t>AB-3-35</t>
  </si>
  <si>
    <t>AB-2.5-35</t>
  </si>
  <si>
    <t>Brida ciega de 2,5" 304SS</t>
  </si>
  <si>
    <t>Mecanizado acople bridado 2.5"</t>
  </si>
  <si>
    <t>AB-4-50-S</t>
  </si>
  <si>
    <t>Barra 4 " * 140 mm 316SS</t>
  </si>
  <si>
    <t>AB-8-90-S</t>
  </si>
  <si>
    <t>Barra 8 " * 250 mm 316SS</t>
  </si>
  <si>
    <t>Mecanizado acople bridado 8"</t>
  </si>
  <si>
    <t>AB-2.5-40</t>
  </si>
  <si>
    <t>Barra 3 " * 110 mm 304SS</t>
  </si>
  <si>
    <t>AB-6-60-S</t>
  </si>
  <si>
    <t>Barra 6 " * 220 mm 316SS</t>
  </si>
  <si>
    <t>AB-6-60</t>
  </si>
  <si>
    <t>Barra 6 " * 220 mm 304SS</t>
  </si>
  <si>
    <t>AB-4-40-S</t>
  </si>
  <si>
    <t>Barra 4 " * 120 mm 316SS</t>
  </si>
  <si>
    <t>AB-2-30</t>
  </si>
  <si>
    <t>Barra 2 " * 92 mm 304SS</t>
  </si>
  <si>
    <t>Mecanizado acople bridado 2"</t>
  </si>
  <si>
    <t>AB-6-50-S</t>
  </si>
  <si>
    <t>Barra 6 " * 160 mm 316SS</t>
  </si>
  <si>
    <t>AB-8-120</t>
  </si>
  <si>
    <t>Barra 8 " * 350 mm 304SS</t>
  </si>
  <si>
    <t>AB-8-120-S</t>
  </si>
  <si>
    <t>Barra 8 " * 350 mm 316SS</t>
  </si>
  <si>
    <t>AB-2-40</t>
  </si>
  <si>
    <t>Barra 2" * 120 mm 304SS</t>
  </si>
  <si>
    <t>AB-2-35</t>
  </si>
  <si>
    <t>Barra 2 1/2" * 120 mm 304SS</t>
  </si>
  <si>
    <t>AB-2-25</t>
  </si>
  <si>
    <t>Barra 2 1/2" * 80 mm 304SS</t>
  </si>
  <si>
    <t>AB-3-40-S</t>
  </si>
  <si>
    <t>Barra 3 " * 115 mm 316SS</t>
  </si>
  <si>
    <t>AB-1.5-30</t>
  </si>
  <si>
    <t>Brida ciega de 1,5" 304SS</t>
  </si>
  <si>
    <t>Barra 2 " * 110 mm 304SS</t>
  </si>
  <si>
    <t>Mecanizado acople bridado 1.5"</t>
  </si>
  <si>
    <t>AB-4-60-S</t>
  </si>
  <si>
    <t>Barra 4 " * 170 mm 316SS</t>
  </si>
  <si>
    <t>AB-3-50-S</t>
  </si>
  <si>
    <t>Barra 3 " * 140mm 316SS</t>
  </si>
  <si>
    <t>AB-3-35-S</t>
  </si>
  <si>
    <t>AB-6-70</t>
  </si>
  <si>
    <t>Barra 6 " * 250 mm 304SS</t>
  </si>
  <si>
    <t>AB-2-35-S</t>
  </si>
  <si>
    <t>Barra 2 1/2" * 120 mm 316SS</t>
  </si>
  <si>
    <t>AB-6-50</t>
  </si>
  <si>
    <t>Barra 6 " * 160 mm 304SS</t>
  </si>
  <si>
    <t>AB-2.5-30-S</t>
  </si>
  <si>
    <t>Brida ciega de 2,5" 316SS</t>
  </si>
  <si>
    <t>AB-8-70</t>
  </si>
  <si>
    <t>Barra 8 " * 220 mm 304SS</t>
  </si>
  <si>
    <t>AB-2.5-25</t>
  </si>
  <si>
    <t>Barra 3 " * 90 mm 304SS</t>
  </si>
  <si>
    <t>AB-2.5-35-S</t>
  </si>
  <si>
    <t>AB-3-60</t>
  </si>
  <si>
    <t>Barra 3 " * 180 mm 304SS</t>
  </si>
  <si>
    <t>AB-10-120</t>
  </si>
  <si>
    <t>Brida ciega de 10" 304SS</t>
  </si>
  <si>
    <t>Barra 10 " * 450 mm 304SS</t>
  </si>
  <si>
    <t>Mecanizado acople bridado 10"</t>
  </si>
  <si>
    <t>AB-10-120-S</t>
  </si>
  <si>
    <t>Brida ciega de 10" 316SS</t>
  </si>
  <si>
    <t>Barra 10 " * 360 mm 316SS</t>
  </si>
  <si>
    <t>AB-6-100</t>
  </si>
  <si>
    <t>AB-4-30</t>
  </si>
  <si>
    <t>AB-4-35</t>
  </si>
  <si>
    <t>Barra 4 " * 180 mm 304SS</t>
  </si>
  <si>
    <t>AB-4-40</t>
  </si>
  <si>
    <t>Barra 4 " * 120 mm 304SS</t>
  </si>
  <si>
    <t>AB-2.5-40-S</t>
  </si>
  <si>
    <t>Barra 3 " * 110 mm 316SS</t>
  </si>
  <si>
    <t>AB-6-90</t>
  </si>
  <si>
    <t>Barra 6 " * 300 mm 304SS</t>
  </si>
  <si>
    <t>AB-6-70-S</t>
  </si>
  <si>
    <t>Barra 6 " * 270 mm 316SS</t>
  </si>
  <si>
    <t>AB-2-25-S</t>
  </si>
  <si>
    <t>Barra 2 1/2" * 80 mm 316SS</t>
  </si>
  <si>
    <t>AB-3-25</t>
  </si>
  <si>
    <t>Barra 3 " * 95 mm 304SS</t>
  </si>
  <si>
    <t>AB-3-25-S</t>
  </si>
  <si>
    <t>Barra 3 " * 95 mm 316SS</t>
  </si>
  <si>
    <t>AB-1.5-25-S</t>
  </si>
  <si>
    <t>Brida ciega de 1,5" 316SS</t>
  </si>
  <si>
    <t>Barra 2 " * 110 mm 316SS</t>
  </si>
  <si>
    <t>AB-1.5-25</t>
  </si>
  <si>
    <t>AB-2.5-50</t>
  </si>
  <si>
    <t>Barra 3 " * 150 mm 304SS</t>
  </si>
  <si>
    <t>AB-1.25-20</t>
  </si>
  <si>
    <t>Brida ciega de 1,25" 304SS</t>
  </si>
  <si>
    <t>Mecanizado acople bridado 1.25"</t>
  </si>
  <si>
    <t>AB-1.5-20</t>
  </si>
  <si>
    <t>AB-1.5-35</t>
  </si>
  <si>
    <t>AB-3-70</t>
  </si>
  <si>
    <t>Barra 3 " * 210 mm 304SS</t>
  </si>
  <si>
    <t>AB-2-30-S</t>
  </si>
  <si>
    <t>Barra 2 " * 92 mm 316SS</t>
  </si>
  <si>
    <t>AB-2.5-30</t>
  </si>
  <si>
    <t>AB-2-20</t>
  </si>
  <si>
    <t>Barra 2 1/2" * 95 mm 304SS</t>
  </si>
  <si>
    <t>AB-2.5-50-S</t>
  </si>
  <si>
    <t>Barra 3 " * 150 mm 316SS</t>
  </si>
  <si>
    <t>AD-020-025</t>
  </si>
  <si>
    <t>Cant</t>
  </si>
  <si>
    <t>Barra 1 1/2" * 200 mm 304SS</t>
  </si>
  <si>
    <t>Mecanizado Acople Directo 1 "</t>
  </si>
  <si>
    <t>AD-020-032</t>
  </si>
  <si>
    <t>Barra 2" * 200 mm 304SS</t>
  </si>
  <si>
    <t>Mecanizado Acople Directo 2"</t>
  </si>
  <si>
    <t>AD-025-032</t>
  </si>
  <si>
    <t>AD-035-050</t>
  </si>
  <si>
    <t>Barra 3" * 200 mm 304SS</t>
  </si>
  <si>
    <t>Mecanizado Acople Directo 3"</t>
  </si>
  <si>
    <t>AD-025-038</t>
  </si>
  <si>
    <t>Mecanizado Acople Directo 3 "</t>
  </si>
  <si>
    <t>AD-030-050</t>
  </si>
  <si>
    <t>AD-020-038</t>
  </si>
  <si>
    <t>Barra 2" * 112 mm 304SS</t>
  </si>
  <si>
    <t>AD-020-025-S</t>
  </si>
  <si>
    <t>Barra 1 1/2" * 200 mm 316SS</t>
  </si>
  <si>
    <t>AD-014-025</t>
  </si>
  <si>
    <t>Mecanizado Acople Directo 1 1/2 "</t>
  </si>
  <si>
    <t>AD-014-025-S</t>
  </si>
  <si>
    <t>AD-018-038</t>
  </si>
  <si>
    <t>Mecanizado Acople Directo 2 "</t>
  </si>
  <si>
    <t>AD-018-025</t>
  </si>
  <si>
    <t>AD-018-032</t>
  </si>
  <si>
    <t>AD-025-050</t>
  </si>
  <si>
    <t>AD-030-038</t>
  </si>
  <si>
    <t>AD-025-025</t>
  </si>
  <si>
    <t>AD-035-038</t>
  </si>
  <si>
    <t>AD-050-050</t>
  </si>
  <si>
    <t>Barra 4" * 200 mm 304SS</t>
  </si>
  <si>
    <t>Mecanizado Acople Directo 2 PARTIDO "</t>
  </si>
  <si>
    <t>AD-018-032-S</t>
  </si>
  <si>
    <t>Barra 2" * 200 mm 316SS</t>
  </si>
  <si>
    <t>AD-018-025-S</t>
  </si>
  <si>
    <t>AD-014-032</t>
  </si>
  <si>
    <t>Mecanizado Acople Directo 1 1/4"</t>
  </si>
  <si>
    <t>AD-030-032-S</t>
  </si>
  <si>
    <t>Barra 3" * 200 mm 316SS</t>
  </si>
  <si>
    <t>AD-030-032</t>
  </si>
  <si>
    <t>AD-030-038-S</t>
  </si>
  <si>
    <t>AD-025-038-S</t>
  </si>
  <si>
    <t>AD-020-032-S</t>
  </si>
  <si>
    <t>Barra 2" * 200 mm 316 SS</t>
  </si>
  <si>
    <t>Mecanizado Acople Directo 2</t>
  </si>
  <si>
    <t>P2-BBM</t>
  </si>
  <si>
    <t>Material Propelas T200</t>
  </si>
  <si>
    <t>Barra de 1 1/2" * 0,15 m 304SS</t>
  </si>
  <si>
    <t>Maquinado de manzana de 1 1/2"</t>
  </si>
  <si>
    <t>Mecanizado Propelas T200</t>
  </si>
  <si>
    <t>SandBlasting T200</t>
  </si>
  <si>
    <t>P2-DBM</t>
  </si>
  <si>
    <t>Material Propelas T350</t>
  </si>
  <si>
    <t>Mecanizado Propelas T350</t>
  </si>
  <si>
    <t>SandBlasting T350</t>
  </si>
  <si>
    <t>P2-DCM</t>
  </si>
  <si>
    <t>Barra de 2" * 0,15 m 304SS</t>
  </si>
  <si>
    <t>Maquinado de manzana de 2"</t>
  </si>
  <si>
    <t>P2-HCM</t>
  </si>
  <si>
    <t>Material Propelas T550</t>
  </si>
  <si>
    <t>Mecanizado Propelas T550</t>
  </si>
  <si>
    <t>SandBlasting T550</t>
  </si>
  <si>
    <t>P2-BCM</t>
  </si>
  <si>
    <t>P2-ABM</t>
  </si>
  <si>
    <t>Material Propelas T160</t>
  </si>
  <si>
    <t>Mecanizado Propelas T160</t>
  </si>
  <si>
    <t>SandBlasting T160</t>
  </si>
  <si>
    <t>P2-GDMS</t>
  </si>
  <si>
    <t>Material Propelas T500 316SS</t>
  </si>
  <si>
    <t>Barra de 2" * 0,15 m 316SS</t>
  </si>
  <si>
    <t>Mecanizado Propelas T500</t>
  </si>
  <si>
    <t>SandBlasting T500</t>
  </si>
  <si>
    <t>P3-GDM</t>
  </si>
  <si>
    <t>Material Propelas CT500</t>
  </si>
  <si>
    <t>Mecanizado Propelas CT500</t>
  </si>
  <si>
    <t>SandBlasting CT500</t>
  </si>
  <si>
    <t>P3-GDMS</t>
  </si>
  <si>
    <t>Material Propelas CT500 316SS</t>
  </si>
  <si>
    <t>P3-CCM</t>
  </si>
  <si>
    <t>Material Propelas CT300 304SS</t>
  </si>
  <si>
    <t>Mecanizado Propelas CT300</t>
  </si>
  <si>
    <t>SandBlasting CT300</t>
  </si>
  <si>
    <t>P3-MIC</t>
  </si>
  <si>
    <t>Material Propelas CT1200 304SS</t>
  </si>
  <si>
    <t>CASQUETE  4" TRIPALA 304SS</t>
  </si>
  <si>
    <t>Mecanizado Propelas CT1200</t>
  </si>
  <si>
    <t>Doblado Propelas CT1200</t>
  </si>
  <si>
    <t>SandBlasting CT1200</t>
  </si>
  <si>
    <t>P3-EDM</t>
  </si>
  <si>
    <t>Material Propelas CT400 304SS</t>
  </si>
  <si>
    <t>Mecanizado Propelas CT400</t>
  </si>
  <si>
    <t>SandBlasting CT400</t>
  </si>
  <si>
    <t>P2-JEM</t>
  </si>
  <si>
    <t>Material Propelas T700</t>
  </si>
  <si>
    <t>Barra de 3" * 0,15 m 304SS</t>
  </si>
  <si>
    <t>Maquinado de manzana de 3"</t>
  </si>
  <si>
    <t>Mecanizado Propelas T700</t>
  </si>
  <si>
    <t>SandBlasting T700</t>
  </si>
  <si>
    <t>P2-KDM</t>
  </si>
  <si>
    <t>Material Propelas T800</t>
  </si>
  <si>
    <t>Mecanizado Propelas T800</t>
  </si>
  <si>
    <t>SandBlasting T800</t>
  </si>
  <si>
    <t>P2-KEM</t>
  </si>
  <si>
    <t>P2-JGC</t>
  </si>
  <si>
    <t>Material Casquete 3" TURBINA 304SS</t>
  </si>
  <si>
    <t>P2-KGC</t>
  </si>
  <si>
    <t>P2-KIC</t>
  </si>
  <si>
    <t>Material Casquete 4" TURBINA 304SS</t>
  </si>
  <si>
    <t>P3-BBM</t>
  </si>
  <si>
    <t>Material Propelas CT200</t>
  </si>
  <si>
    <t>Mecanizado Propelas CT200</t>
  </si>
  <si>
    <t>SandBlasting CT200</t>
  </si>
  <si>
    <t>P3-CBM</t>
  </si>
  <si>
    <t>Material Propelas CT300</t>
  </si>
  <si>
    <t>P3-EBM</t>
  </si>
  <si>
    <t>Material Propelas CT400</t>
  </si>
  <si>
    <t>P3-GCM</t>
  </si>
  <si>
    <t>P3-IEM</t>
  </si>
  <si>
    <t>Material Propelas CT600</t>
  </si>
  <si>
    <t>Mecanizado Propelas CT600</t>
  </si>
  <si>
    <t>SandBlasting CT600</t>
  </si>
  <si>
    <t>P3-JEC</t>
  </si>
  <si>
    <t>Material Propelas CT700</t>
  </si>
  <si>
    <t>CASQUETE 2" TRIPALA 304SS</t>
  </si>
  <si>
    <t>Mecanizado Propelas CT700</t>
  </si>
  <si>
    <t>SandBlasting CT700</t>
  </si>
  <si>
    <t>P3-KDC</t>
  </si>
  <si>
    <t>Material Propelas CT800</t>
  </si>
  <si>
    <t>CASQUETE 1 1/2 " TRIPALA 304SS</t>
  </si>
  <si>
    <t>Mecanizado Propelas CT800</t>
  </si>
  <si>
    <t>SandBlasting CT800</t>
  </si>
  <si>
    <t>P3-LEC</t>
  </si>
  <si>
    <t>Material Propelas CT1000</t>
  </si>
  <si>
    <t>CASQUETE  2" TRIPALA 304SS</t>
  </si>
  <si>
    <t>Mecanizado Propelas CT1000</t>
  </si>
  <si>
    <t>SandBlasting CT1000</t>
  </si>
  <si>
    <t>P3-MEC</t>
  </si>
  <si>
    <t>P3-NGC</t>
  </si>
  <si>
    <t>Material Propelas CT1500 304SS</t>
  </si>
  <si>
    <t>CASQUETE  3" TRIPALA 304SS</t>
  </si>
  <si>
    <t>Mecanizado Propelas CT1500</t>
  </si>
  <si>
    <t>Doblado Propelas CT1500</t>
  </si>
  <si>
    <t>SandBlasting CT1500</t>
  </si>
  <si>
    <t>P3-JGC</t>
  </si>
  <si>
    <t>Material Propelas CT700 304SS</t>
  </si>
  <si>
    <t>CASQUETE 3" TRIPALA 304SS</t>
  </si>
  <si>
    <t>P3-LFC</t>
  </si>
  <si>
    <t>CASQUETE  2 1/2" TRIPALA 304SS</t>
  </si>
  <si>
    <t>Doblado Propelas CT1000</t>
  </si>
  <si>
    <t>P4-EBM</t>
  </si>
  <si>
    <t>Material Propelas GC400 304SS</t>
  </si>
  <si>
    <t>Mecanizado Propelas GC400</t>
  </si>
  <si>
    <t>SandBlasting GC400</t>
  </si>
  <si>
    <t>P4-IEC</t>
  </si>
  <si>
    <t>Material Propelas GC600 304SS</t>
  </si>
  <si>
    <t>CASQUETE 2" GC 304SS</t>
  </si>
  <si>
    <t>Mecanizado Propelas GC600</t>
  </si>
  <si>
    <t>SandBlasting GC600</t>
  </si>
  <si>
    <t>P4-KEC</t>
  </si>
  <si>
    <t>Material Propelas GC800</t>
  </si>
  <si>
    <t>Mecanizado Propelas GC800</t>
  </si>
  <si>
    <t>SandBlasting GC800</t>
  </si>
  <si>
    <t>P4-MIC</t>
  </si>
  <si>
    <t>Material Propelas GC1200 304SS</t>
  </si>
  <si>
    <t>CASQUETE 4" GC 304SS</t>
  </si>
  <si>
    <t>Mecanizado Propelas GC1200</t>
  </si>
  <si>
    <t>Doblado Propelas GC1200</t>
  </si>
  <si>
    <t>SandBlasting GC1200</t>
  </si>
  <si>
    <t>P4-RIC</t>
  </si>
  <si>
    <t>Material Propelas GC1400 304SS</t>
  </si>
  <si>
    <t>Mecanizado Propelas GC1400</t>
  </si>
  <si>
    <t>Doblado Propelas GC1400</t>
  </si>
  <si>
    <t>SandBlasting GC1400</t>
  </si>
  <si>
    <t>P0-ECM</t>
  </si>
  <si>
    <t>Material Propelas GCE400 304SS</t>
  </si>
  <si>
    <t>Mecanizado Propelas GCE400</t>
  </si>
  <si>
    <t>SandBlasting GCE400</t>
  </si>
  <si>
    <t>P4-LGC</t>
  </si>
  <si>
    <t>Material Propelas GC1000 304SS</t>
  </si>
  <si>
    <t>CASQUETE 3" GC 304SS</t>
  </si>
  <si>
    <t>Mecanizado Propelas GC1000</t>
  </si>
  <si>
    <t>Doblado Propelas GC1000</t>
  </si>
  <si>
    <t>SandBlasting GC1000</t>
  </si>
  <si>
    <t>P3-OICS</t>
  </si>
  <si>
    <t>Material Propelas CT1800 316SS</t>
  </si>
  <si>
    <t>CASQUETE 4" CT 316SS</t>
  </si>
  <si>
    <t>Doblado casquete CT 8"</t>
  </si>
  <si>
    <t>Mecanizado Propelas CT1800</t>
  </si>
  <si>
    <t>Doblado Propelas CT1800</t>
  </si>
  <si>
    <t>SandBlasting CT1800</t>
  </si>
  <si>
    <t>P3-OKCS</t>
  </si>
  <si>
    <t>CASQUETE 8" CT 316SS</t>
  </si>
  <si>
    <t>P5-SKCS</t>
  </si>
  <si>
    <t>Material Propelas CB1600 316SS</t>
  </si>
  <si>
    <t>CASQUETE 8" CB 316SS</t>
  </si>
  <si>
    <t>Doblado casquete CB1600</t>
  </si>
  <si>
    <t>Mecanizado Propelas CB1600</t>
  </si>
  <si>
    <t>Doblado Propelas CB1600</t>
  </si>
  <si>
    <t>SandBlasting CB1600</t>
  </si>
  <si>
    <t>P3-JFC</t>
  </si>
  <si>
    <t>CASQUETE 2 1/2" TRIPALA 304SS</t>
  </si>
  <si>
    <t>P3-NJC</t>
  </si>
  <si>
    <t>CASQUETE  6" TRIPALA 304SS</t>
  </si>
  <si>
    <t>Doblado casquete CT 6"</t>
  </si>
  <si>
    <t>P3-NJCS</t>
  </si>
  <si>
    <t>Material Propelas CT1500 316SS</t>
  </si>
  <si>
    <t>CASQUETE  6" TRIPALA 316SS</t>
  </si>
  <si>
    <t>P0-EBM</t>
  </si>
  <si>
    <t>P3-LIC</t>
  </si>
  <si>
    <t>Material Propelas CT1000 304SS</t>
  </si>
  <si>
    <t>P3-EBMS</t>
  </si>
  <si>
    <t>Material Propelas CT400 316SS</t>
  </si>
  <si>
    <t>Barra de 1 1/2" * 0,15 m 316SS</t>
  </si>
  <si>
    <t>P3-CBMS</t>
  </si>
  <si>
    <t>Material Propelas CT300 316SS</t>
  </si>
  <si>
    <t>P3-NICS</t>
  </si>
  <si>
    <t>CASQUETE  4" TRIPALA 316SS</t>
  </si>
  <si>
    <t>Doblado casquete CT 4"</t>
  </si>
  <si>
    <t>P3-MICS</t>
  </si>
  <si>
    <t>Material Propelas CT1200 316SS</t>
  </si>
  <si>
    <t>P3-OFCS</t>
  </si>
  <si>
    <t>CASQUETE 2 1/2" CT 316SS</t>
  </si>
  <si>
    <t>P5-QICS</t>
  </si>
  <si>
    <t>Material Propelas CB2000 316SS</t>
  </si>
  <si>
    <t>CASQUETE 4" CB 316SS</t>
  </si>
  <si>
    <t>Doblado casquete CB2000</t>
  </si>
  <si>
    <t>Mecanizado Propelas CB2000</t>
  </si>
  <si>
    <t>Doblado Propelas CB2000</t>
  </si>
  <si>
    <t>SandBlasting CB2000</t>
  </si>
  <si>
    <t>P2-HEM</t>
  </si>
  <si>
    <t>P3-MJCS</t>
  </si>
  <si>
    <t>P3-NIC</t>
  </si>
  <si>
    <t>P3-JCM</t>
  </si>
  <si>
    <t>P3-IBM</t>
  </si>
  <si>
    <t>P3-IDM</t>
  </si>
  <si>
    <t>P5-TKC</t>
  </si>
  <si>
    <t>Material Propelas CB3600 304SS</t>
  </si>
  <si>
    <t>CASQUETE 8" CB 304SS</t>
  </si>
  <si>
    <t>Doblado casquete CB3600</t>
  </si>
  <si>
    <t>Mecanizado Propelas CB3600</t>
  </si>
  <si>
    <t>Doblado Propelas CB3600</t>
  </si>
  <si>
    <t>SandBlasting CB3600</t>
  </si>
  <si>
    <t>P2-DDM</t>
  </si>
  <si>
    <t>P5-TKCS</t>
  </si>
  <si>
    <t>Material Propelas CB3600 316SS</t>
  </si>
  <si>
    <t>P2-GEM</t>
  </si>
  <si>
    <t>Material Propelas T500</t>
  </si>
  <si>
    <t>P3-LEM</t>
  </si>
  <si>
    <t>P3-MEM</t>
  </si>
  <si>
    <t>P3-ECM</t>
  </si>
  <si>
    <t>P3-LGC</t>
  </si>
  <si>
    <t>P3-MGCS</t>
  </si>
  <si>
    <t>CASQUETE  3" TRIPALA 316SS</t>
  </si>
  <si>
    <t>P3-OJC</t>
  </si>
  <si>
    <t>Material Propelas CT1800 304SS</t>
  </si>
  <si>
    <t>CASQUETE 6" CT 316SS</t>
  </si>
  <si>
    <t>P3-NFC</t>
  </si>
  <si>
    <t>P3-IGC</t>
  </si>
  <si>
    <t>CASQUETE 3" CT 304SS</t>
  </si>
  <si>
    <t>P2-GGC</t>
  </si>
  <si>
    <t>CASQUETE 3" T 304SS</t>
  </si>
  <si>
    <t>P3-CCMS</t>
  </si>
  <si>
    <t>P3-KDM</t>
  </si>
  <si>
    <t>Material Propelas CT800 304SS</t>
  </si>
  <si>
    <t>P3-CDM</t>
  </si>
  <si>
    <t>P5-UGCS</t>
  </si>
  <si>
    <t>Material Propelas CB2500 316SS</t>
  </si>
  <si>
    <t>CASQUETE 3" CB 316SS</t>
  </si>
  <si>
    <t>Doblado casquete CB2500</t>
  </si>
  <si>
    <t>Mecanizado Propelas CB2500</t>
  </si>
  <si>
    <t>Doblado Propelas CB2500</t>
  </si>
  <si>
    <t>SandBlasting CB2500</t>
  </si>
  <si>
    <t>P5-UGC</t>
  </si>
  <si>
    <t>Material Propelas CB2500 304SS</t>
  </si>
  <si>
    <t>CASQUETE 3" CB 304SS</t>
  </si>
  <si>
    <t>P3-JGCS</t>
  </si>
  <si>
    <t>Material Propelas CT700 316SS</t>
  </si>
  <si>
    <t>CASQUETE 3" TRIPALA 316SS</t>
  </si>
  <si>
    <t>P3-IIC</t>
  </si>
  <si>
    <t>Material Propelas CT600 304 SS</t>
  </si>
  <si>
    <t>CASQUETE 4" CT 304SS</t>
  </si>
  <si>
    <t>P3-MJC</t>
  </si>
  <si>
    <t>P2-KJC</t>
  </si>
  <si>
    <t>Material Casquete 6" TURBINA 304SS</t>
  </si>
  <si>
    <t>P3-LEMS</t>
  </si>
  <si>
    <t>Material Propelas CT1000 3164SS</t>
  </si>
  <si>
    <t>Barra de 3" * 0,15 m 316SS</t>
  </si>
  <si>
    <t>P2-GEMS</t>
  </si>
  <si>
    <t>P3-GEM</t>
  </si>
  <si>
    <t>Material Propelas CT500 304SS</t>
  </si>
  <si>
    <t>P2-BEM</t>
  </si>
  <si>
    <t>P3-EEC</t>
  </si>
  <si>
    <t>Doblado Casquete Pequeño</t>
  </si>
  <si>
    <t>P3-MGC</t>
  </si>
  <si>
    <t>P2-GIC</t>
  </si>
  <si>
    <t>CASQUETE " T 304SS</t>
  </si>
  <si>
    <t>P3-LJC</t>
  </si>
  <si>
    <t>P3-KFCS</t>
  </si>
  <si>
    <t>Material Propelas CT800 316SS</t>
  </si>
  <si>
    <t>CASQUETE 2 1/2 " TRIPALA 316SS</t>
  </si>
  <si>
    <t>P3-MKC</t>
  </si>
  <si>
    <t>CASQUETE  8" TRIPALA 304SS</t>
  </si>
  <si>
    <t>P3-LJCS</t>
  </si>
  <si>
    <t>Material Propelas CT1000 316SS</t>
  </si>
  <si>
    <t>P2-DEM</t>
  </si>
  <si>
    <t>P3-KEM</t>
  </si>
  <si>
    <t>P0-EDM</t>
  </si>
  <si>
    <t>P3-GBM</t>
  </si>
  <si>
    <t>P3-EFC</t>
  </si>
  <si>
    <t>Mecanizado Casquete Pequeño</t>
  </si>
  <si>
    <t>P3-KGCS</t>
  </si>
  <si>
    <t>CASQUETE 3 " TRIPALA 316SS</t>
  </si>
  <si>
    <t>Maquinado Casquete pequeño</t>
  </si>
  <si>
    <t>P3-KCM</t>
  </si>
  <si>
    <t>P3-NEC</t>
  </si>
  <si>
    <t>P3-BCM</t>
  </si>
  <si>
    <t>Material Propelas CT200 304SS</t>
  </si>
  <si>
    <t>P5-IFC</t>
  </si>
  <si>
    <t>Material Propelas CB600 304SS</t>
  </si>
  <si>
    <t>CASQUETE 2 1/2" CB 304SS</t>
  </si>
  <si>
    <t>Mecanizado Propelas CB600</t>
  </si>
  <si>
    <t>SandBlasting CB600</t>
  </si>
  <si>
    <t>P5-ECM</t>
  </si>
  <si>
    <t>Material Propelas CB400</t>
  </si>
  <si>
    <t>Mecanizado Propelas CB400</t>
  </si>
  <si>
    <t>SandBlasting CB400</t>
  </si>
  <si>
    <t>P2-HFM</t>
  </si>
  <si>
    <t>Material Propelas T550 304SS</t>
  </si>
  <si>
    <t>P2-GFM</t>
  </si>
  <si>
    <t>Material Propelas T500 304SS</t>
  </si>
  <si>
    <t>P3-IFM</t>
  </si>
  <si>
    <t>Material Propelas CT600 304SS</t>
  </si>
  <si>
    <t>P3-EEM</t>
  </si>
  <si>
    <t>P3-GFM</t>
  </si>
  <si>
    <t>P2-HGC</t>
  </si>
  <si>
    <t>DOBLADO CASQUETE PEQUEÑO</t>
  </si>
  <si>
    <t>P4-LJC</t>
  </si>
  <si>
    <t>CASQUETE 6" GC 304SS</t>
  </si>
  <si>
    <t>Doblado Casquete 6" GC</t>
  </si>
  <si>
    <t>P4-LJCS</t>
  </si>
  <si>
    <t>Material Propelas GC1000 316SS</t>
  </si>
  <si>
    <t>CASQUETE 6" GC 316SS</t>
  </si>
  <si>
    <t>P4-OLC</t>
  </si>
  <si>
    <t>Material Propelas GC1800 304SS</t>
  </si>
  <si>
    <t>CASQUETE 10" GC 304SS</t>
  </si>
  <si>
    <t>Mecanizado Propelas GC1800</t>
  </si>
  <si>
    <t>Doblado Propelas GC1800</t>
  </si>
  <si>
    <t>Doblado Casquete 10" GC</t>
  </si>
  <si>
    <t>SandBlasting GC1800</t>
  </si>
  <si>
    <t>P4-OLCS</t>
  </si>
  <si>
    <t>Material Propelas GC1800 316SS</t>
  </si>
  <si>
    <t>CASQUETE 10" GC 316SS</t>
  </si>
  <si>
    <t>P5-UJC</t>
  </si>
  <si>
    <t>CASQUETE 6" CB 304SS</t>
  </si>
  <si>
    <t>P5-VJC</t>
  </si>
  <si>
    <t>Material Propelas CB3000 304SS</t>
  </si>
  <si>
    <t>Doblado casquete CB3000</t>
  </si>
  <si>
    <t>Mecanizado Propelas CB3000</t>
  </si>
  <si>
    <t>Doblado Propelas CB3000</t>
  </si>
  <si>
    <t>SandBlasting CB3000</t>
  </si>
  <si>
    <t>P4-SJC</t>
  </si>
  <si>
    <t>Material Propelas GC1600 304SS</t>
  </si>
  <si>
    <t>Mecanizado Propelas GC1600</t>
  </si>
  <si>
    <t>Doblado Propelas GC1600</t>
  </si>
  <si>
    <t>SandBlasting GC1600</t>
  </si>
  <si>
    <t>P5-UIC</t>
  </si>
  <si>
    <t>CASQUETE 4" CB 304SS</t>
  </si>
  <si>
    <t>P0-ECMS</t>
  </si>
  <si>
    <t>Material Propelas GCE400 316SS</t>
  </si>
  <si>
    <t>P5-VIC</t>
  </si>
  <si>
    <t>P3-JEM</t>
  </si>
  <si>
    <t>P3-GIC</t>
  </si>
  <si>
    <t>SandBlasting C1500</t>
  </si>
  <si>
    <t>P3-JDM</t>
  </si>
  <si>
    <t>P2-HDM</t>
  </si>
  <si>
    <t>P3-VKC</t>
  </si>
  <si>
    <t>Material Propelas CT3000 304SS</t>
  </si>
  <si>
    <t>CASQUETE 8" CT 304SS</t>
  </si>
  <si>
    <t>Mecanizado Propelas CT3000</t>
  </si>
  <si>
    <t>Doblado Propelas CT3000</t>
  </si>
  <si>
    <t>SandBlasting CT3000</t>
  </si>
  <si>
    <t>P3-UKC</t>
  </si>
  <si>
    <t>Material Propelas CT2500 304SS</t>
  </si>
  <si>
    <t>Mecanizado Propelas CT2500</t>
  </si>
  <si>
    <t>Doblado Propelas CT2500</t>
  </si>
  <si>
    <t>SandBlasting CT2500</t>
  </si>
  <si>
    <t>P5-SGC</t>
  </si>
  <si>
    <t>Material Propelas CB1600 304SS</t>
  </si>
  <si>
    <t>Doblado casquete CB 3"</t>
  </si>
  <si>
    <t>P2-JFC</t>
  </si>
  <si>
    <t>Material Casquete 2 1/2" TURBINA 304SS</t>
  </si>
  <si>
    <t>P2-JIC</t>
  </si>
  <si>
    <t>P2-LJC</t>
  </si>
  <si>
    <t>Material Propelas T1000</t>
  </si>
  <si>
    <t>Mecanizado Propelas T1000</t>
  </si>
  <si>
    <t>SandBlasting T1000</t>
  </si>
  <si>
    <t>P2-LIC</t>
  </si>
  <si>
    <t>P5-TIC</t>
  </si>
  <si>
    <t>Doblado casquete 4" CB</t>
  </si>
  <si>
    <t>P2-KMC</t>
  </si>
  <si>
    <t>Material Casquete 5" TURBINA 304SS</t>
  </si>
  <si>
    <t>P3-MMC</t>
  </si>
  <si>
    <t>CASQUETE  5" TRIPALA 304SS</t>
  </si>
  <si>
    <t>P2-XMC</t>
  </si>
  <si>
    <t>Material Propelas T900</t>
  </si>
  <si>
    <t>Mecanizado Propelas T900</t>
  </si>
  <si>
    <t>SandBlasting T900</t>
  </si>
  <si>
    <t>P0-EBMS</t>
  </si>
  <si>
    <t>P3-MFC</t>
  </si>
  <si>
    <t>P5-QGC</t>
  </si>
  <si>
    <t>Material Propelas CB2000 304SS</t>
  </si>
  <si>
    <t>P3-OKC</t>
  </si>
  <si>
    <t>P4-NJC</t>
  </si>
  <si>
    <t>Material Propelas GC1500 304SS</t>
  </si>
  <si>
    <t>Mecanizado Propelas GC1500</t>
  </si>
  <si>
    <t>Doblado Propelas GC1500</t>
  </si>
  <si>
    <t>SandBlasting GC1500</t>
  </si>
  <si>
    <t>P4-NJCS</t>
  </si>
  <si>
    <t>Material Propelas GC1500 316SS</t>
  </si>
  <si>
    <t>P2-XDM</t>
  </si>
  <si>
    <t>P3-ICM</t>
  </si>
  <si>
    <t>P2-JICS</t>
  </si>
  <si>
    <t>Material Propelas T700 316SS</t>
  </si>
  <si>
    <t>Material Casquete 4" TURBINA 316SS</t>
  </si>
  <si>
    <t>P3-LFCS</t>
  </si>
  <si>
    <t>CASQUETE  2 1/2" TRIPALA 316SS</t>
  </si>
  <si>
    <t>P3-GFMS</t>
  </si>
  <si>
    <t>P2-HFMS</t>
  </si>
  <si>
    <t>Material Propelas T550 316SS</t>
  </si>
  <si>
    <t>P2-KJCS</t>
  </si>
  <si>
    <t>Material Propelas T800 316SS</t>
  </si>
  <si>
    <t>Material Casquete 6" TURBINA 316SS</t>
  </si>
  <si>
    <t>P2-GDM</t>
  </si>
  <si>
    <t>P5-SIC</t>
  </si>
  <si>
    <t>Doblado casquete CB 4"</t>
  </si>
  <si>
    <t>P3-KIC</t>
  </si>
  <si>
    <t>CASQUETE 4 " TRIPALA 304SS</t>
  </si>
  <si>
    <t>P3-OGC</t>
  </si>
  <si>
    <t>Doblado casquete CT1800</t>
  </si>
  <si>
    <t>P5-KGC</t>
  </si>
  <si>
    <t>Material Propelas CB800 304SS</t>
  </si>
  <si>
    <t>Mecanizado Propelas CB800</t>
  </si>
  <si>
    <t>Doblez CB800</t>
  </si>
  <si>
    <t>SandBlasting CB800</t>
  </si>
  <si>
    <t>P3-KGC</t>
  </si>
  <si>
    <t>CASQUETE 3 " TRIPALA 304SS</t>
  </si>
  <si>
    <t>P3-KJC</t>
  </si>
  <si>
    <t>CASQUETE 6 " TRIPALA 304SS</t>
  </si>
  <si>
    <t>DOBLADO CASQUETE 6"</t>
  </si>
  <si>
    <t>P3-KJCS</t>
  </si>
  <si>
    <t>CASQUETE 6 " TRIPALA 316SS</t>
  </si>
  <si>
    <t>P3-GEMS</t>
  </si>
  <si>
    <t>P3-BBMS</t>
  </si>
  <si>
    <t>Material Propelas CT200 316SS</t>
  </si>
  <si>
    <t>P2-BBMS</t>
  </si>
  <si>
    <t>Material Propelas T200 316SS</t>
  </si>
  <si>
    <t>P5-VICS</t>
  </si>
  <si>
    <t>Material Propelas CB3000 316SS</t>
  </si>
  <si>
    <t>P3-JIC</t>
  </si>
  <si>
    <t>DOBLADO CASQUETE 4" CT</t>
  </si>
  <si>
    <t>CASQUETE 4" TRIPALA 304SS</t>
  </si>
  <si>
    <t>P3-OJCS</t>
  </si>
  <si>
    <t>Doblado casquete 6"</t>
  </si>
  <si>
    <t>P2-DDMS</t>
  </si>
  <si>
    <t>Material Propelas T350 316SS</t>
  </si>
  <si>
    <t>P3-OIC</t>
  </si>
  <si>
    <t>P2-KFC</t>
  </si>
  <si>
    <t>P5-VGC</t>
  </si>
  <si>
    <t>P2-CGC</t>
  </si>
  <si>
    <t>Material Propelas T300</t>
  </si>
  <si>
    <t>Mecanizado Propelas T300</t>
  </si>
  <si>
    <t>SandBlasting T300</t>
  </si>
  <si>
    <t>P2-BCMS</t>
  </si>
  <si>
    <t>P2-DCMS</t>
  </si>
  <si>
    <t>P5-QFC</t>
  </si>
  <si>
    <t>Doblado casquete CB 2 1/2</t>
  </si>
  <si>
    <t>P4-IECS</t>
  </si>
  <si>
    <t>Material Propelas GC600 316SS</t>
  </si>
  <si>
    <t>CASQUETE 2" GC 316SS</t>
  </si>
  <si>
    <t>P2-BEC</t>
  </si>
  <si>
    <t>Material Propelas T200 304SS</t>
  </si>
  <si>
    <t>CASQUETE 2" TURBINA 304SS</t>
  </si>
  <si>
    <t>P2-BECS</t>
  </si>
  <si>
    <t>CASQUETE 2" TURBINA 316SS</t>
  </si>
  <si>
    <t>P4-SIC</t>
  </si>
  <si>
    <t>Doblado Casquete 4" GC</t>
  </si>
  <si>
    <t>P3-LGCS</t>
  </si>
  <si>
    <t>P3-ECMS</t>
  </si>
  <si>
    <t>P3-GFC</t>
  </si>
  <si>
    <t>CASQUETE CT 2 1/2" 304SS</t>
  </si>
  <si>
    <t>P2-JDM</t>
  </si>
  <si>
    <t>Material Propelas T700 304SS</t>
  </si>
  <si>
    <t>P3-EDC</t>
  </si>
  <si>
    <t>CASQUE4TE 1 1/2" 304SS</t>
  </si>
  <si>
    <t>´</t>
  </si>
  <si>
    <t>P3-KEC</t>
  </si>
  <si>
    <t>CASQUETE  2" CT 304SS</t>
  </si>
  <si>
    <t>P5-NGC</t>
  </si>
  <si>
    <t>Material Propelas CB1500 304SS</t>
  </si>
  <si>
    <t>Mecanizado Propelas CB1500</t>
  </si>
  <si>
    <t>Doblado Propelas CB1500</t>
  </si>
  <si>
    <t>SandBlasting CB1500</t>
  </si>
  <si>
    <t>P2-MGCS</t>
  </si>
  <si>
    <t>Material Propelas T1200 316SS</t>
  </si>
  <si>
    <t>CASQUETE  3" TURBINA 316SS</t>
  </si>
  <si>
    <t>Mecanizado Propelas T1200</t>
  </si>
  <si>
    <t>SandBlasting T1200</t>
  </si>
  <si>
    <t>P5-SGCS</t>
  </si>
  <si>
    <t>P5-SICS</t>
  </si>
  <si>
    <t>P2-MICS</t>
  </si>
  <si>
    <t>CASQUETE  4" TURBINA 316SS</t>
  </si>
  <si>
    <t>P5-SECS</t>
  </si>
  <si>
    <t>CASQUETE 2" CB 316SS</t>
  </si>
  <si>
    <t>P2-XGC</t>
  </si>
  <si>
    <t>P2-XGCS</t>
  </si>
  <si>
    <t>P3-UIC</t>
  </si>
  <si>
    <t>P3-QGC</t>
  </si>
  <si>
    <t>Material Propelas CT2000 304SS</t>
  </si>
  <si>
    <t>Doblado casquete CT 3"</t>
  </si>
  <si>
    <t>Mecanizado Propelas CT2000</t>
  </si>
  <si>
    <t>Doblado Propelas CT2000</t>
  </si>
  <si>
    <t>SandBlasting CT2000</t>
  </si>
  <si>
    <t>P3-CEC</t>
  </si>
  <si>
    <t>P3-QJC</t>
  </si>
  <si>
    <t>CASQUETE 6" CT 304SS</t>
  </si>
  <si>
    <t>P3-IDMS</t>
  </si>
  <si>
    <t>Material Propelas CT600 316SS</t>
  </si>
  <si>
    <t>P3-JICS</t>
  </si>
  <si>
    <t>DOBLADO CASQUETE 4" CT 316SS</t>
  </si>
  <si>
    <t>CASQUETE 4" TRIPALA 316SS</t>
  </si>
  <si>
    <t>P3-JECS</t>
  </si>
  <si>
    <t>CASQUETE 2" TRIPALA 316SS</t>
  </si>
  <si>
    <t>P3-JFCS</t>
  </si>
  <si>
    <t>CASQUETE 2 1/2" TRIPALA 316SS</t>
  </si>
  <si>
    <t>P2-HEC</t>
  </si>
  <si>
    <t>Casquete T 2"</t>
  </si>
  <si>
    <t>P5-LDC</t>
  </si>
  <si>
    <t>Material Propelas CB1000 304SS</t>
  </si>
  <si>
    <t>CASQUETE 1 1/2" CB 304SS</t>
  </si>
  <si>
    <t>Mecanizado Propelas CB1000</t>
  </si>
  <si>
    <t>SandBlasting CB1000</t>
  </si>
  <si>
    <t>P5-KDC</t>
  </si>
  <si>
    <t>P5-UKCS</t>
  </si>
  <si>
    <t>P5-QKCS</t>
  </si>
  <si>
    <t>P5-VKCS</t>
  </si>
  <si>
    <t>P5-VJCS</t>
  </si>
  <si>
    <t>CASQUETE 6" CB 316SS</t>
  </si>
  <si>
    <t>P5-UJCS</t>
  </si>
  <si>
    <t>Doblado casquete CB 6"</t>
  </si>
  <si>
    <t>P5-QJCS</t>
  </si>
  <si>
    <t>P2-GFC</t>
  </si>
  <si>
    <t>CASQUETE 2 1/2" T 304SS</t>
  </si>
  <si>
    <t>P3-GGC</t>
  </si>
  <si>
    <t>SandBlasting C500</t>
  </si>
  <si>
    <t>P3-LDC</t>
  </si>
  <si>
    <t>CASQUETE  1 1/2" TRIPALA 304SS</t>
  </si>
  <si>
    <t>P5-GCM</t>
  </si>
  <si>
    <t>Material Propelas CB500 304SS</t>
  </si>
  <si>
    <t>Barra de 2" * 0,1 m 304SS</t>
  </si>
  <si>
    <t>Mecanizado Propelas CB500</t>
  </si>
  <si>
    <t>SandBlasting CB5700</t>
  </si>
  <si>
    <t>P3-QIC</t>
  </si>
  <si>
    <t>P5-MGC</t>
  </si>
  <si>
    <t>Material Propelas CB1200 304SS</t>
  </si>
  <si>
    <t>Mecanizado Propelas CB1200</t>
  </si>
  <si>
    <t>Doblado Propelas CB1200</t>
  </si>
  <si>
    <t>SandBlasting CB1200</t>
  </si>
  <si>
    <t>P5-GEC</t>
  </si>
  <si>
    <t>CASQUETE  2" BIPALA 304SS</t>
  </si>
  <si>
    <t>Doblado casquete CB 2"</t>
  </si>
  <si>
    <t>SandBlasting CB500</t>
  </si>
  <si>
    <t>P3-GEC</t>
  </si>
  <si>
    <t>Doblado casquete CT 2"</t>
  </si>
  <si>
    <t>P5-SEC</t>
  </si>
  <si>
    <t>CASQUETE 2" CB 304SS</t>
  </si>
  <si>
    <t>P3-VJC</t>
  </si>
  <si>
    <t>P5-QEC</t>
  </si>
  <si>
    <t>P5-SFC</t>
  </si>
  <si>
    <t>Doblado casquete CB 2 1/2"</t>
  </si>
  <si>
    <t>P3-IFC</t>
  </si>
  <si>
    <t>CASQUETE 2 1/2" CT 304SS</t>
  </si>
  <si>
    <t>P3-IFCS</t>
  </si>
  <si>
    <t>P3-IEC</t>
  </si>
  <si>
    <t>CASQUETE 2" CT 304SS</t>
  </si>
  <si>
    <t>P3-KFC</t>
  </si>
  <si>
    <t>CASQUETE 2 1/2 " TRIPALA 304SS</t>
  </si>
  <si>
    <t>P4-GCM</t>
  </si>
  <si>
    <t>Material Propelas GC500</t>
  </si>
  <si>
    <t>Mecanizado Propelas GC500</t>
  </si>
  <si>
    <t>SandBlasting GC500</t>
  </si>
  <si>
    <t>P4-LFC</t>
  </si>
  <si>
    <t>CASQUETE 2 1/2" GC 304SS</t>
  </si>
  <si>
    <t>P5-MFC</t>
  </si>
  <si>
    <t>P3-GECS</t>
  </si>
  <si>
    <t>CASQUETE  2" TRIPALA 316SS</t>
  </si>
  <si>
    <t>P3-JCMS</t>
  </si>
  <si>
    <t>Barra de 2" * 0,15 m 316 SS</t>
  </si>
  <si>
    <t>P4-LIC</t>
  </si>
  <si>
    <t>P3-NGCS</t>
  </si>
  <si>
    <t>P3-GDC</t>
  </si>
  <si>
    <t>CASQUETE  1 1/2" TRIPALA 304S</t>
  </si>
  <si>
    <t>Doblado casquete CT 1 1/2"</t>
  </si>
  <si>
    <t>P3-GDCS</t>
  </si>
  <si>
    <t>CASQUETE  1 1/2" TRIPALA 316SS</t>
  </si>
  <si>
    <t>P5-KEC</t>
  </si>
  <si>
    <t>Material Propelas CB800</t>
  </si>
  <si>
    <t>CASQUETE  1 1/2" BIPALA 304SS</t>
  </si>
  <si>
    <t>P3-OGCS</t>
  </si>
  <si>
    <t>CASQUETE 3" CT 316SS</t>
  </si>
  <si>
    <t>Doblado casquete CT1800 316SS</t>
  </si>
  <si>
    <t xml:space="preserve">Mecanizado Propelas CT1800 </t>
  </si>
  <si>
    <t xml:space="preserve">Doblado Propelas CT1800 </t>
  </si>
  <si>
    <t>P2-LICS</t>
  </si>
  <si>
    <t>Material Propelas T1000 316SS</t>
  </si>
  <si>
    <t>P2-KEC</t>
  </si>
  <si>
    <t>Material Propelas T800 304SS</t>
  </si>
  <si>
    <t>Material Casquete 2" TURBINA 304SS</t>
  </si>
  <si>
    <t>P2-LGC</t>
  </si>
  <si>
    <t>Material Propelas T1000 304SS</t>
  </si>
  <si>
    <t>P5-LIC</t>
  </si>
  <si>
    <t>P2-CCM</t>
  </si>
  <si>
    <t>Material Propelas T300 304SS</t>
  </si>
  <si>
    <t>BARRAS MACIZAS 304SS</t>
  </si>
  <si>
    <t>VALOR / m</t>
  </si>
  <si>
    <t>ULTIMA COTIZACION</t>
  </si>
  <si>
    <t>EMPRESA</t>
  </si>
  <si>
    <t>PESO POR METRO (KG)</t>
  </si>
  <si>
    <t xml:space="preserve">1 " </t>
  </si>
  <si>
    <t>CORTEACEROS</t>
  </si>
  <si>
    <t xml:space="preserve">1 1/4" </t>
  </si>
  <si>
    <t xml:space="preserve">1 1/2" </t>
  </si>
  <si>
    <t xml:space="preserve">2" </t>
  </si>
  <si>
    <t xml:space="preserve">2 1/2" </t>
  </si>
  <si>
    <t xml:space="preserve">3" </t>
  </si>
  <si>
    <t>IMPORINOX</t>
  </si>
  <si>
    <t xml:space="preserve">6" </t>
  </si>
  <si>
    <t xml:space="preserve">8" </t>
  </si>
  <si>
    <t>10"</t>
  </si>
  <si>
    <t>BARRAS MACIZAS 316SS</t>
  </si>
  <si>
    <t>1"</t>
  </si>
  <si>
    <t>SUPUESTO</t>
  </si>
  <si>
    <t>1 1/4"</t>
  </si>
  <si>
    <t>2 1/4"</t>
  </si>
  <si>
    <t>2 1/2"</t>
  </si>
  <si>
    <t>3"</t>
  </si>
  <si>
    <t>3 1/2"</t>
  </si>
  <si>
    <t>6"</t>
  </si>
  <si>
    <t>Estimado extrapolacion</t>
  </si>
  <si>
    <t>8"</t>
  </si>
  <si>
    <t>ESTIMADO</t>
  </si>
  <si>
    <t>BARRAS MACIZAS 4140</t>
  </si>
  <si>
    <t>ACEROSCOL</t>
  </si>
  <si>
    <t>1 3/8"</t>
  </si>
  <si>
    <t>BARRAS MACIZAS 1020</t>
  </si>
  <si>
    <t>4 ½”</t>
  </si>
  <si>
    <t>6”</t>
  </si>
  <si>
    <t>BARRAS PERFORADAS 1518</t>
  </si>
  <si>
    <t>D ext: 102 mm D in: 80 mm</t>
  </si>
  <si>
    <t>D ext: 76 mm D in: 42 mm</t>
  </si>
  <si>
    <t>D ext: 101 mm D in: 51 mm</t>
  </si>
  <si>
    <t>BARRAS MACIZAS 1045</t>
  </si>
  <si>
    <t>TUBOS SCH 10 316L</t>
  </si>
  <si>
    <t>VALOR 5,8 m</t>
  </si>
  <si>
    <t>TUVACOL</t>
  </si>
  <si>
    <t>TUBOS SCH 40 304SS</t>
  </si>
  <si>
    <t>SUMIVALLE</t>
  </si>
  <si>
    <t>1 1/2"</t>
  </si>
  <si>
    <t>TUBOS</t>
  </si>
  <si>
    <t xml:space="preserve">CON </t>
  </si>
  <si>
    <t xml:space="preserve">POR </t>
  </si>
  <si>
    <t>5"</t>
  </si>
  <si>
    <t>CAMBIO</t>
  </si>
  <si>
    <t xml:space="preserve">DE </t>
  </si>
  <si>
    <t>AÑO</t>
  </si>
  <si>
    <t>TUBOS SCH 40 316SS</t>
  </si>
  <si>
    <t>TUBOS SCH 40 A53</t>
  </si>
  <si>
    <t>6 "</t>
  </si>
  <si>
    <t>BRIDAS CIEGAS 304SS</t>
  </si>
  <si>
    <t>PRECIO</t>
  </si>
  <si>
    <t>PESO UNITARIO (KG)</t>
  </si>
  <si>
    <t>2 "</t>
  </si>
  <si>
    <t>CASAVAL</t>
  </si>
  <si>
    <t>BRIDA SLIP ON 304SS</t>
  </si>
  <si>
    <t>BRIDA CIEGA 316SS</t>
  </si>
  <si>
    <t xml:space="preserve">ESTIMADO </t>
  </si>
  <si>
    <t>ASUMINCOL</t>
  </si>
  <si>
    <t>BRIDA SLIP ON 316SS</t>
  </si>
  <si>
    <t>BRIDA CIEGA A36</t>
  </si>
  <si>
    <t>150*1/4"</t>
  </si>
  <si>
    <t>MQJS</t>
  </si>
  <si>
    <t>250 * 1/8"</t>
  </si>
  <si>
    <t>MECANIDO</t>
  </si>
  <si>
    <t>210* 5/16</t>
  </si>
  <si>
    <t>INDUPROMET</t>
  </si>
  <si>
    <t>210 * 1/8"</t>
  </si>
  <si>
    <t>350 * 1/8"</t>
  </si>
  <si>
    <t>170* 1/4"</t>
  </si>
  <si>
    <t>210 * 1/4"</t>
  </si>
  <si>
    <t>250 * 1/4"</t>
  </si>
  <si>
    <t>250 * 5/16"</t>
  </si>
  <si>
    <t>PL-300-025-80</t>
  </si>
  <si>
    <t>300 * 1/4"</t>
  </si>
  <si>
    <t>350* 1/4"</t>
  </si>
  <si>
    <t>350 * 3/8"</t>
  </si>
  <si>
    <t>350 * 1/2"</t>
  </si>
  <si>
    <t>400 * 3/8”</t>
  </si>
  <si>
    <t>400 * 3/4" 304SS</t>
  </si>
  <si>
    <t>500* 3/4"</t>
  </si>
  <si>
    <t>600* 3/4"</t>
  </si>
  <si>
    <t>600 * 1"</t>
  </si>
  <si>
    <t>600 * 2"</t>
  </si>
  <si>
    <t>PROPELAS (MATERIALES)</t>
  </si>
  <si>
    <t>T160 304SS</t>
  </si>
  <si>
    <t>T200 304SS</t>
  </si>
  <si>
    <t>T300 304SS</t>
  </si>
  <si>
    <t>T350 304SS</t>
  </si>
  <si>
    <t>T500 304SS</t>
  </si>
  <si>
    <t>T550 304SS</t>
  </si>
  <si>
    <t>T700 304SS</t>
  </si>
  <si>
    <t>T800 304SS</t>
  </si>
  <si>
    <t>T900 304SS</t>
  </si>
  <si>
    <t>T1000 304SS</t>
  </si>
  <si>
    <t>T200 316SS</t>
  </si>
  <si>
    <t>T350 316SS</t>
  </si>
  <si>
    <t>T500 316SS</t>
  </si>
  <si>
    <t>T550 316SS</t>
  </si>
  <si>
    <t>T700 316SS</t>
  </si>
  <si>
    <t>T800 316SS</t>
  </si>
  <si>
    <t>T900 316SS</t>
  </si>
  <si>
    <t>T1000 316SS</t>
  </si>
  <si>
    <t>T1200 316SS</t>
  </si>
  <si>
    <t>CT200 304SS</t>
  </si>
  <si>
    <t>CT300 304SS</t>
  </si>
  <si>
    <t>CT400 304SS</t>
  </si>
  <si>
    <t>CT500 304SS</t>
  </si>
  <si>
    <t>CT600 304SS</t>
  </si>
  <si>
    <t>CT700 304SS</t>
  </si>
  <si>
    <t>CT800 304SS</t>
  </si>
  <si>
    <t>CT1000 304SS</t>
  </si>
  <si>
    <t>CT1200 304SS</t>
  </si>
  <si>
    <t>CT1500 304SS</t>
  </si>
  <si>
    <t>CT1800 304SS</t>
  </si>
  <si>
    <t>CT2000 304SS</t>
  </si>
  <si>
    <t>CT2500 304SS</t>
  </si>
  <si>
    <t>CT3000 304SS</t>
  </si>
  <si>
    <t>CT200 316SS</t>
  </si>
  <si>
    <t>CT300 316SS</t>
  </si>
  <si>
    <t>CT400 316SS</t>
  </si>
  <si>
    <t>CT500 316SS</t>
  </si>
  <si>
    <t>CT600 316SS</t>
  </si>
  <si>
    <t>CT700 316SS</t>
  </si>
  <si>
    <t>CT800 316SS</t>
  </si>
  <si>
    <t>CT1000 316SS</t>
  </si>
  <si>
    <t>CT1200 316SS</t>
  </si>
  <si>
    <t>CT1500 316SS</t>
  </si>
  <si>
    <t>CT1800 316SS</t>
  </si>
  <si>
    <t>CB400 304SS</t>
  </si>
  <si>
    <t>CB500 304SS</t>
  </si>
  <si>
    <t>CB600 304SS</t>
  </si>
  <si>
    <t>CB800 304SS</t>
  </si>
  <si>
    <t>CB1000 304SS</t>
  </si>
  <si>
    <t>CB1200 304SS</t>
  </si>
  <si>
    <t>CB1500 304SS</t>
  </si>
  <si>
    <t>CB1600 304SS</t>
  </si>
  <si>
    <t>CB2000 304SS</t>
  </si>
  <si>
    <t>CB2500 304SS</t>
  </si>
  <si>
    <t>CB3000 304SS</t>
  </si>
  <si>
    <t>CB3600 304SS</t>
  </si>
  <si>
    <t>11/0/2016</t>
  </si>
  <si>
    <t>CB1600 316SS</t>
  </si>
  <si>
    <t>CB2000 316SS</t>
  </si>
  <si>
    <t>CB2500 316SS</t>
  </si>
  <si>
    <t>CB3000 316SS</t>
  </si>
  <si>
    <t>CB3600 316SS</t>
  </si>
  <si>
    <t>GC400 304SS</t>
  </si>
  <si>
    <t>GC500 304SS</t>
  </si>
  <si>
    <t>GC600 304SS</t>
  </si>
  <si>
    <t>GC800 304SS</t>
  </si>
  <si>
    <t>GC1000 304SS</t>
  </si>
  <si>
    <t>GC1200 304SS</t>
  </si>
  <si>
    <t>GC1400 304SS</t>
  </si>
  <si>
    <t>GC1500 304SS</t>
  </si>
  <si>
    <t>GC1600 304SS</t>
  </si>
  <si>
    <t>GC1800 304SS</t>
  </si>
  <si>
    <t>GC400 316SS</t>
  </si>
  <si>
    <t>GC600 316SS</t>
  </si>
  <si>
    <t>GC1000 316SS</t>
  </si>
  <si>
    <t>GC1500 316SS</t>
  </si>
  <si>
    <t>GC1800 316SS</t>
  </si>
  <si>
    <t>GCE400 304SS</t>
  </si>
  <si>
    <t>GCE400 316SS</t>
  </si>
  <si>
    <t>CASQUETES (MATERIALES)</t>
  </si>
  <si>
    <t>CASQUETE 1 1/2" TRIPALA 304SS</t>
  </si>
  <si>
    <t>CASQUETE 5" TRIPALA 304SS</t>
  </si>
  <si>
    <t>CASQUETE 6" TRIPALA 304SS</t>
  </si>
  <si>
    <t>CASQUETE 8" TRIPALA 304SS</t>
  </si>
  <si>
    <t>ASUMIDA</t>
  </si>
  <si>
    <t>CASQUETE 6" TRIPALA 316SS</t>
  </si>
  <si>
    <t>CASQUETE 8" TRIPALA 316SS</t>
  </si>
  <si>
    <t>CASQUETE 1 1/2" BIPALA 304SS</t>
  </si>
  <si>
    <t>CASQUETE 2" BIPALA 304SS</t>
  </si>
  <si>
    <t>CASQUETE 2 1/2" BIPALA 304SS</t>
  </si>
  <si>
    <t>CASQUETE 3" BIPALA 304SS</t>
  </si>
  <si>
    <t>CASQUETE 4" BIPALA 304SS</t>
  </si>
  <si>
    <t>CASQUETE 6" BIPALA 304SS</t>
  </si>
  <si>
    <t>CASQUETE 8" BIPALA 304SS</t>
  </si>
  <si>
    <t>CASQUETE 2" BIPALA 316SS</t>
  </si>
  <si>
    <t>CASQUETE 3" BIPALA 316SS</t>
  </si>
  <si>
    <t>CASQUETE 4" BIPALA 316SS</t>
  </si>
  <si>
    <t>CASQUETE 6" BIPALA 316SS</t>
  </si>
  <si>
    <t>CASQUETE 8" BIPALA 316SS</t>
  </si>
  <si>
    <t>CASQUETE 2 1/2" TURBINA 304SS</t>
  </si>
  <si>
    <t>CASQUETE  3" TURBINA 304SS</t>
  </si>
  <si>
    <t>CASQUETE  4" TURBINA 304SS</t>
  </si>
  <si>
    <t>CASQUETE 5" TURBINA 304SS</t>
  </si>
  <si>
    <t>CASQUETE  6" TURBINA 304SS</t>
  </si>
  <si>
    <t>CASQUETE 3" TURBINA 316SS</t>
  </si>
  <si>
    <t>CASQUETE 4" TURBINA 316SS</t>
  </si>
  <si>
    <t>CASQUETE 6" TURBINA 316SS</t>
  </si>
  <si>
    <t>MECANIZADOS</t>
  </si>
  <si>
    <t>ACOPLE DIRECTO 1 "</t>
  </si>
  <si>
    <t>ACOPLE DIRECTO 1 1/4"</t>
  </si>
  <si>
    <t>ACOPLE DIRECTO 1 1/2"</t>
  </si>
  <si>
    <t>ACOPLE DIRECTO 2"</t>
  </si>
  <si>
    <t>DAVID GARCIA</t>
  </si>
  <si>
    <t>ACOPLE DIRECTO 2" PARTIDO</t>
  </si>
  <si>
    <t>ACOPLE DIRECTO 2 1/2"</t>
  </si>
  <si>
    <t>ACOPLE DIRECTO 3"</t>
  </si>
  <si>
    <t>EJE MACIZO 1"</t>
  </si>
  <si>
    <t>EJE MACIZO 1 1/4"</t>
  </si>
  <si>
    <t>EJE MACIZO 1 1/2"</t>
  </si>
  <si>
    <t>EJE MACIZO 2"</t>
  </si>
  <si>
    <t>EJE MACIZO BRIDADO 1 1/4"</t>
  </si>
  <si>
    <t>EJE MACIZO BRIDADO 1 1/2"</t>
  </si>
  <si>
    <t>EJE MACIZO BRIDADO 2"</t>
  </si>
  <si>
    <t>ACOPLE BRIDADO 1 1/4"</t>
  </si>
  <si>
    <t>ACOPLE BRIDADO 1 1/2"</t>
  </si>
  <si>
    <t>ACOPLE BRIDADO 2"</t>
  </si>
  <si>
    <t>ACOPLE BRIDADO 2 1/2"</t>
  </si>
  <si>
    <t>ACOPLE BRIDADO 3"</t>
  </si>
  <si>
    <t>ACOPLE BRIDADO 4"</t>
  </si>
  <si>
    <t>ACOPLE BRIDADO 6"</t>
  </si>
  <si>
    <t>ACOPLE BRIDADO 8"</t>
  </si>
  <si>
    <t>ACOPLE BRIDADO 10"</t>
  </si>
  <si>
    <t>EJE TUBULAR 1 1/2"</t>
  </si>
  <si>
    <t>EJE TUBULAR 2"</t>
  </si>
  <si>
    <t>EJE TUBULAR 2 1/2"</t>
  </si>
  <si>
    <t>EJE TUBULAR 3"</t>
  </si>
  <si>
    <t>EJE TUBULAR 4"</t>
  </si>
  <si>
    <t>EJE TUBULAR 5"</t>
  </si>
  <si>
    <t>EJE TUBULAR 6"</t>
  </si>
  <si>
    <t>EJE TUBULAR 8"</t>
  </si>
  <si>
    <t>EJE TUBULAR 8" 3 BRIDAS</t>
  </si>
  <si>
    <t>EJE TUBULAR 10"</t>
  </si>
  <si>
    <t>PROPELA T160</t>
  </si>
  <si>
    <t>NFS</t>
  </si>
  <si>
    <t>PROPELA T200</t>
  </si>
  <si>
    <t>PROPELA T300</t>
  </si>
  <si>
    <t>PROPELA T350</t>
  </si>
  <si>
    <t>PROPELA T500</t>
  </si>
  <si>
    <t>PROPELA T550</t>
  </si>
  <si>
    <t>PROPELA T700</t>
  </si>
  <si>
    <t>PROPELA T800</t>
  </si>
  <si>
    <t>PROPELA T900</t>
  </si>
  <si>
    <t>PROPELA T1000</t>
  </si>
  <si>
    <t>PROPELA T1200</t>
  </si>
  <si>
    <t>MANZANA  1 1/2"</t>
  </si>
  <si>
    <t>MANZANA 2"</t>
  </si>
  <si>
    <t>MANZANA 3"</t>
  </si>
  <si>
    <t>SANDBLASTING T160</t>
  </si>
  <si>
    <t>PINTUEMPRESAS</t>
  </si>
  <si>
    <t>SANDBLASTING T200</t>
  </si>
  <si>
    <t>SANDBLASTING T300</t>
  </si>
  <si>
    <t>SANDBLASTING T350</t>
  </si>
  <si>
    <t>SANDBLASTING T500</t>
  </si>
  <si>
    <t>SANDBLASTING T550</t>
  </si>
  <si>
    <t>SANDBLASTING T700</t>
  </si>
  <si>
    <t>SANDBLASTING T800</t>
  </si>
  <si>
    <t>SANDBLASTING T900</t>
  </si>
  <si>
    <t>SANDBLASTING T1000</t>
  </si>
  <si>
    <t>SANDBLASTING T1200</t>
  </si>
  <si>
    <t>SANDBLASTING CT200</t>
  </si>
  <si>
    <t>SANDBLASTING CT300</t>
  </si>
  <si>
    <t>SANDBLASTING CT400</t>
  </si>
  <si>
    <t>SANDBLASTING CT500</t>
  </si>
  <si>
    <t>SANDBLASTING CT600</t>
  </si>
  <si>
    <t>SANDBLASTING CT700</t>
  </si>
  <si>
    <t>SANDBLASTING CT800</t>
  </si>
  <si>
    <t>SANDBLASTING CT1000</t>
  </si>
  <si>
    <t>SANDBLASTING CT1200</t>
  </si>
  <si>
    <t>SANDBLASTING CT1500</t>
  </si>
  <si>
    <t>SANDBLASTING CT1800</t>
  </si>
  <si>
    <t>SANDBLASTING CT2000</t>
  </si>
  <si>
    <t>SANDBLASTING CT2500</t>
  </si>
  <si>
    <t>SANDBLASTING CT3000</t>
  </si>
  <si>
    <t>SANDBLASTING GC400</t>
  </si>
  <si>
    <t>SANDBLASTING GC500</t>
  </si>
  <si>
    <t>SANDBLASTING GC600</t>
  </si>
  <si>
    <t>SANDBLASTING GC800</t>
  </si>
  <si>
    <t>SANDBLASTING GC1000</t>
  </si>
  <si>
    <t>SANDBLASTING GC1200</t>
  </si>
  <si>
    <t>SANDBLASTING GC1400</t>
  </si>
  <si>
    <t>SANDBLASTING GC1500</t>
  </si>
  <si>
    <t>SANDBLASTING GC1600</t>
  </si>
  <si>
    <t>SANDBLASTING GC1800</t>
  </si>
  <si>
    <t>SANDBLASTING GCE400</t>
  </si>
  <si>
    <t>SANDBLASTING CB400</t>
  </si>
  <si>
    <t>SANDBLASTING CB500</t>
  </si>
  <si>
    <t>SANDBLASTING CB600</t>
  </si>
  <si>
    <t>SANDBLASTING CB800</t>
  </si>
  <si>
    <t>SANDBLASTING CB1000</t>
  </si>
  <si>
    <t>SANDBLASTING CB1200</t>
  </si>
  <si>
    <t>SANDBLASTING CB1500</t>
  </si>
  <si>
    <t>SANDBLASTING CB1600</t>
  </si>
  <si>
    <t>SANDBLASTING CB2000</t>
  </si>
  <si>
    <t>SANDBLASTING CB2500</t>
  </si>
  <si>
    <t>SANDBLASTING CB3000</t>
  </si>
  <si>
    <t>SANDBLASTING CB3600</t>
  </si>
  <si>
    <t>PROPELA CT200</t>
  </si>
  <si>
    <t>PROPELA CT300</t>
  </si>
  <si>
    <t>PROPELA CT400</t>
  </si>
  <si>
    <t>PROPELA CT500</t>
  </si>
  <si>
    <t>PROPELA CT600</t>
  </si>
  <si>
    <t>PROPELA CT700</t>
  </si>
  <si>
    <t>PROPELA CT800</t>
  </si>
  <si>
    <t>PROPELA CT1000</t>
  </si>
  <si>
    <t>PROPELA CT1200</t>
  </si>
  <si>
    <t>PROPELA CT1500</t>
  </si>
  <si>
    <t>PROPELA CT1800</t>
  </si>
  <si>
    <t>PROPELA CT2000</t>
  </si>
  <si>
    <t>PROPELA CT2500</t>
  </si>
  <si>
    <t>PROPELA CT3000</t>
  </si>
  <si>
    <t>PROPELA CB400</t>
  </si>
  <si>
    <t>PROPELA CB500</t>
  </si>
  <si>
    <t>PROPELA CB600</t>
  </si>
  <si>
    <t>PROPELA CB800</t>
  </si>
  <si>
    <t>PROPELA CB1000</t>
  </si>
  <si>
    <t>PROPELA CB1200</t>
  </si>
  <si>
    <t>PROPELA CB1500</t>
  </si>
  <si>
    <t>PROPELA CB1600</t>
  </si>
  <si>
    <t>PROPELA CB2000</t>
  </si>
  <si>
    <t>PROPELA CB2500</t>
  </si>
  <si>
    <t>PROPELA CB3000</t>
  </si>
  <si>
    <t>PROPELA CB3600</t>
  </si>
  <si>
    <t>DOBLADO CT1000</t>
  </si>
  <si>
    <t>MECANICA JAN</t>
  </si>
  <si>
    <t>DOBLADO CT1200</t>
  </si>
  <si>
    <t>DOBLADO CT1500</t>
  </si>
  <si>
    <t>DOBLADO CT1800</t>
  </si>
  <si>
    <t>DOBLADO CT2000</t>
  </si>
  <si>
    <t>DOBLADO CT2500</t>
  </si>
  <si>
    <t>DOBLADO CT3000</t>
  </si>
  <si>
    <t>DOBLADO GC1000</t>
  </si>
  <si>
    <t>DOBLADO GC1200</t>
  </si>
  <si>
    <t>DOBLADO GC1500</t>
  </si>
  <si>
    <t>DOBLADO GC1600</t>
  </si>
  <si>
    <t>DOBLADO GC1800</t>
  </si>
  <si>
    <t>DOBLADO CB800</t>
  </si>
  <si>
    <t>DOBLADO CB1200</t>
  </si>
  <si>
    <t>DOBLADO CB1500</t>
  </si>
  <si>
    <t>DOBLADO CB1600</t>
  </si>
  <si>
    <t>DOBLADO CB2000</t>
  </si>
  <si>
    <t>DOBLADO CB2500</t>
  </si>
  <si>
    <t>DOBLADO CB3000</t>
  </si>
  <si>
    <t>DOBLADO CB3600</t>
  </si>
  <si>
    <t>DOBLADO CASQEUTE GC 4"</t>
  </si>
  <si>
    <t xml:space="preserve">DOBLADO CASQUETE GC 6" </t>
  </si>
  <si>
    <t xml:space="preserve">DOBLADO CASQUETE GC 10" </t>
  </si>
  <si>
    <t>DOBLADO CASQUETE CT 2"</t>
  </si>
  <si>
    <t>DOBLADO CASQUETE CT 3"</t>
  </si>
  <si>
    <t>DOBLADO CASQUETE CT 4"</t>
  </si>
  <si>
    <t>DOBLADO CASQUETE CT 6"</t>
  </si>
  <si>
    <t>DOBLADO CASQUETE CT 8"</t>
  </si>
  <si>
    <t>DOBLADO CASQUETE CB 2 1/2"</t>
  </si>
  <si>
    <t>DOBLADO CASQUETE CB 2"</t>
  </si>
  <si>
    <t>DOBLADO CASQUETE CB 3"</t>
  </si>
  <si>
    <t>DOBLADO CASQUETE CB 4"</t>
  </si>
  <si>
    <t>DOBLADO CASQUETE CB 6"</t>
  </si>
  <si>
    <t>DOBLADO CASQUETE CB2000</t>
  </si>
  <si>
    <t>DOBLADO CASQUETE CB2500</t>
  </si>
  <si>
    <t>DOBLADO CASQUETE CB3000</t>
  </si>
  <si>
    <t>DOBLADO CASQUETE CB3600</t>
  </si>
  <si>
    <t>PROPELA GC400</t>
  </si>
  <si>
    <t>PROPELA GC500</t>
  </si>
  <si>
    <t>PROPELA GC600</t>
  </si>
  <si>
    <t>PROPELA GC800</t>
  </si>
  <si>
    <t>PROPELA GC1000</t>
  </si>
  <si>
    <t>PROPELA GC1200</t>
  </si>
  <si>
    <t>PROPELA GC1400</t>
  </si>
  <si>
    <t>PROPELA GC1500</t>
  </si>
  <si>
    <t>PROPELA GC1600</t>
  </si>
  <si>
    <t>PROPELA GC1800</t>
  </si>
  <si>
    <t>PROPELA GCE400</t>
  </si>
  <si>
    <t>MOTOREDUCTORES</t>
  </si>
  <si>
    <t>RF07DRS71S4</t>
  </si>
  <si>
    <t>SEW</t>
  </si>
  <si>
    <t>RF17DRS63L4</t>
  </si>
  <si>
    <t>RF17DRS71S4</t>
  </si>
  <si>
    <t>RF17DRS71M4</t>
  </si>
  <si>
    <t>RF17DRS80S4</t>
  </si>
  <si>
    <t>RF27DRS63L4</t>
  </si>
  <si>
    <t>RF27DRS71S4</t>
  </si>
  <si>
    <t>RF27DRS71M4</t>
  </si>
  <si>
    <t>RF27DRS80S4</t>
  </si>
  <si>
    <t>RF27DRS80M4</t>
  </si>
  <si>
    <t>RF27DRS90M4</t>
  </si>
  <si>
    <t>RF37DRS63L4</t>
  </si>
  <si>
    <t>RF37DRS71S4</t>
  </si>
  <si>
    <t>RF37DRS71M4</t>
  </si>
  <si>
    <t>RF37DRS80S4</t>
  </si>
  <si>
    <t>RF37DRS80M4</t>
  </si>
  <si>
    <t>RF37DRS90M4</t>
  </si>
  <si>
    <t>RF37DRS90L4</t>
  </si>
  <si>
    <t>RF47DRS71S4</t>
  </si>
  <si>
    <t>RF47DRS71M4</t>
  </si>
  <si>
    <t>RF47DRS80S4</t>
  </si>
  <si>
    <t>RF47DRS90M4</t>
  </si>
  <si>
    <t>RF47DRS90S4</t>
  </si>
  <si>
    <t>RF47DRS90L4</t>
  </si>
  <si>
    <t>RF47DRS100L4</t>
  </si>
  <si>
    <t>RF57DRS63L4</t>
  </si>
  <si>
    <t>RF57DRS71S4</t>
  </si>
  <si>
    <t>RF57DRS71M4</t>
  </si>
  <si>
    <t>RF57DRS80S4</t>
  </si>
  <si>
    <t>RF57DRS80M4</t>
  </si>
  <si>
    <t>RF57DRS90M4</t>
  </si>
  <si>
    <t>RF57DRS90L4</t>
  </si>
  <si>
    <t>RF57DRS100M4</t>
  </si>
  <si>
    <t>RF57DRS100L4</t>
  </si>
  <si>
    <t>RF57DRS132M4</t>
  </si>
  <si>
    <t>RF67DRS71S4</t>
  </si>
  <si>
    <t>RF67DRS71M4</t>
  </si>
  <si>
    <t>RF67DRS80M4</t>
  </si>
  <si>
    <t>RF67DRS90M4</t>
  </si>
  <si>
    <t>RF67DRS90L4</t>
  </si>
  <si>
    <t>RF67DRS100M4</t>
  </si>
  <si>
    <t>RF67DRS100L4</t>
  </si>
  <si>
    <t>RF67DRS112M4</t>
  </si>
  <si>
    <t>RF67DRS132S4</t>
  </si>
  <si>
    <t>RF77DRS71S4</t>
  </si>
  <si>
    <t>RF77DRS71M4</t>
  </si>
  <si>
    <t>RF77DRS80S4</t>
  </si>
  <si>
    <t>RF77DRS80M4</t>
  </si>
  <si>
    <t>RF77DRS90M4</t>
  </si>
  <si>
    <t>RF77DRS90L4</t>
  </si>
  <si>
    <t>RF77DRS100L4</t>
  </si>
  <si>
    <t>RF77DRS100M4</t>
  </si>
  <si>
    <t>RF77DRS132S4</t>
  </si>
  <si>
    <t>RF77DRS132M4</t>
  </si>
  <si>
    <t>RF87DRS80S4</t>
  </si>
  <si>
    <t>RF87DRS80M4</t>
  </si>
  <si>
    <t>RF87DRS90M4</t>
  </si>
  <si>
    <t>RF87DRS100M4</t>
  </si>
  <si>
    <t>RF87DRS100L4</t>
  </si>
  <si>
    <t>RF87DRS112M4</t>
  </si>
  <si>
    <t>RF87DRS132S4</t>
  </si>
  <si>
    <t>RF87DRS132M4</t>
  </si>
  <si>
    <t>RF87DRS160L4</t>
  </si>
  <si>
    <t>RF87DRS160M4</t>
  </si>
  <si>
    <t>RF97DRS80M4</t>
  </si>
  <si>
    <t>RF97DRS90M4</t>
  </si>
  <si>
    <t>RF97DRS100M4</t>
  </si>
  <si>
    <t>RF97DRS100L4</t>
  </si>
  <si>
    <t>RF97DRS132S4</t>
  </si>
  <si>
    <t>RF97DRS132M4</t>
  </si>
  <si>
    <t>RF97DRS160S4</t>
  </si>
  <si>
    <t>RF97DRS160M4</t>
  </si>
  <si>
    <t>RF107DRS112M4</t>
  </si>
  <si>
    <t>RF107DRS132M4</t>
  </si>
  <si>
    <t>RF107DRS160S4</t>
  </si>
  <si>
    <t>RF107DRS160M4</t>
  </si>
  <si>
    <t>RF107DRS180S4</t>
  </si>
  <si>
    <t>RF137DRS132S4</t>
  </si>
  <si>
    <t>RF137DRS132M4</t>
  </si>
  <si>
    <t>RF137DRS160M4</t>
  </si>
  <si>
    <t>RF137DRS180L4</t>
  </si>
  <si>
    <t>RF167DRS180S4</t>
  </si>
  <si>
    <t>FAF47DRS80S4</t>
  </si>
  <si>
    <t>FAF57DRS80S4</t>
  </si>
  <si>
    <t>FAF67DRS132S4</t>
  </si>
  <si>
    <t>FAF67DRS112M4</t>
  </si>
  <si>
    <t>FAF77DRS100M4</t>
  </si>
  <si>
    <t>FAF77DRS112M4</t>
  </si>
  <si>
    <t>FAF87DRS132M4</t>
  </si>
  <si>
    <t>FAF97DRS160M4</t>
  </si>
  <si>
    <t>FAF97DRS180S4</t>
  </si>
  <si>
    <t>FAF127DRS160S4</t>
  </si>
  <si>
    <t>FAF127DRS180L4</t>
  </si>
  <si>
    <t>SK12-90L/4</t>
  </si>
  <si>
    <t>SK1SMI40</t>
  </si>
  <si>
    <t>VARIADORES</t>
  </si>
  <si>
    <t>SK1SMI31</t>
  </si>
  <si>
    <t>SK1SMI50</t>
  </si>
  <si>
    <t>SK1SMI63</t>
  </si>
  <si>
    <t>SK1SMI75</t>
  </si>
  <si>
    <t>SK0721IEC71SK71S4</t>
  </si>
  <si>
    <t>SK1721IEC80SK80S4</t>
  </si>
  <si>
    <t>SK5721IEC90SK90S4</t>
  </si>
  <si>
    <t>SK5721IEC90SK90L4</t>
  </si>
  <si>
    <t>SK3721IEC71SK71L4</t>
  </si>
  <si>
    <t>SK7721IEC100SK100LA4</t>
  </si>
  <si>
    <t>SK8721IEC132SK132S4</t>
  </si>
  <si>
    <t>SF37DRS71S4</t>
  </si>
  <si>
    <t>SK2282AF VL</t>
  </si>
  <si>
    <t>NORD</t>
  </si>
  <si>
    <t>EXTRAS</t>
  </si>
  <si>
    <t>PERNOS AG PEQUEÑO</t>
  </si>
  <si>
    <t>PERNOS AG MEDIANO</t>
  </si>
  <si>
    <t>PLACA AGITADOR</t>
  </si>
  <si>
    <t>LINTERNA DISEÑO BASICO</t>
  </si>
  <si>
    <t xml:space="preserve">INGENIERIA </t>
  </si>
  <si>
    <t>PRECIO DIA</t>
  </si>
  <si>
    <t>ING. DE PROYECTOS</t>
  </si>
  <si>
    <t>INGENIERO JUNIOR</t>
  </si>
  <si>
    <t>DIRECTOR DE PROYECTOS</t>
  </si>
  <si>
    <t>HORA</t>
  </si>
  <si>
    <t>ING. PROYECTOS JUNIOR</t>
  </si>
  <si>
    <t>ASISTENTE ADMINISTRATIVA</t>
  </si>
  <si>
    <t>CONTADOR</t>
  </si>
  <si>
    <t>COD</t>
  </si>
  <si>
    <t>DESCRIPCION</t>
  </si>
  <si>
    <t>Propela Turbina 160 mm eje 1" con Manzana Acero 304SS</t>
  </si>
  <si>
    <t>Propela Turbina  200 mm eje 1" con Manzana Acero 304SS</t>
  </si>
  <si>
    <t>Propela Turbina  200 mm eje 1" con Manzana Acero 316SS</t>
  </si>
  <si>
    <t>Propela Turbina  200 mm eje 1 1/4 " con Manzana Acero 304SS</t>
  </si>
  <si>
    <t>Propela Turbina  200 mm eje 1 1/4 " con Manzana Acero 316SS</t>
  </si>
  <si>
    <t>Propela Turbina 200 mm eje 2" con Casquete 304SS</t>
  </si>
  <si>
    <t>Propela Turbina 200 mm eje 2" con Casquete 316SS</t>
  </si>
  <si>
    <t>Propela Turbina  200 mm eje 2" con Manzana Acero 304SS</t>
  </si>
  <si>
    <t>Propela Turbina  300 mm eje 1 1/4" con Manzana Acero 304SS</t>
  </si>
  <si>
    <t>Propela Turbina  300 mm eje 3" con Casquete Acero 304SS</t>
  </si>
  <si>
    <t>Propela Turbina  350 mm eje 1" con Manzana Acero 304SS</t>
  </si>
  <si>
    <t>Propela Turbina  350 mm eje 1 1/4" con Manzana Acero 304SS</t>
  </si>
  <si>
    <t>Propela Turbina  350 mm eje 1 1/4" con Manzana Acero 316SS</t>
  </si>
  <si>
    <t>Propela Turbina 350 mm eje 1 1/2" con Manzana Acero 304SS</t>
  </si>
  <si>
    <t>Propela Turbina 350 mm eje 1 1/2" con Manzana Acero 316SS</t>
  </si>
  <si>
    <t>Propela Turbina 350 mm eje 2" con Manzana Acero 304SS</t>
  </si>
  <si>
    <t>Propela Turbina 500 mm eje 1 1/2" con Manzana Acero 304SS</t>
  </si>
  <si>
    <t>Propela Turbina 500 mm eje 1 1/2" con Manzana Acero 316SS</t>
  </si>
  <si>
    <t>Propela Turbina 500 mm eje 2" con Manzana Acero 304SS</t>
  </si>
  <si>
    <t>Propela Turbina 500 mm eje 2" con Manzana Acero 316SS</t>
  </si>
  <si>
    <t>Propela Turbina 500 mm eje 2 1/2" con Casquete Acero 304SS</t>
  </si>
  <si>
    <t>Propela Turbina 500 mm eje 2 1/2" con Manzana Acero 304SS</t>
  </si>
  <si>
    <t>Propela Turbina 500 mm eje 3" con Casquete Acero 304SS</t>
  </si>
  <si>
    <t>Propela Turbina 500 mm eje 4" con Casquete Acero 304SS</t>
  </si>
  <si>
    <t>Propela Turbina 550 mm eje 1 1/4" con Manzana Acero 304SS</t>
  </si>
  <si>
    <t>Propela Turbina 550 mm eje 1 1/2" con Manzana Acero 304SS</t>
  </si>
  <si>
    <t>Propela Turbina 550 mm eje 2" con Casquete Acero 304SS</t>
  </si>
  <si>
    <t>Propela Turbina 550 mm eje 2" con manzana Acero 304SS</t>
  </si>
  <si>
    <t>Propela Turbina 550 mm eje 2 1/2" con manzana Acero 304SS</t>
  </si>
  <si>
    <t>Propela Turbina 550 mm eje 2 1/2" con manzana Acero 316SS</t>
  </si>
  <si>
    <t>Propela Turbina 550 mm eje 3" con Casquete Acero 304SS</t>
  </si>
  <si>
    <t>Propela Turbina 700 mm eje 1 1/2" con Manzana Acero 304SS</t>
  </si>
  <si>
    <t>Propela Turbina 700 mm eje 2" con Manzana Acero 304SS</t>
  </si>
  <si>
    <t>Propela Turbina 700 mm eje 2 1/2" con Casquete Acero 304SS</t>
  </si>
  <si>
    <t>Propela Turbina 700 mm eje 3" con Casquete Acero 304SS</t>
  </si>
  <si>
    <t>Propela Turbina 700 mm eje 4" con Casquete Acero 304SS</t>
  </si>
  <si>
    <t>Propela Turbina 700 mm eje 4" con Casquete Acero 316SS</t>
  </si>
  <si>
    <t>Propela Turbina 800 mm eje 1 1/2" con Manzana Acero 304SS</t>
  </si>
  <si>
    <t>Propela Turbina 800 mm eje 2" con Casquete Acero 304SS</t>
  </si>
  <si>
    <t>Propela Turbina 800 mm eje 2" con Manzana Acero 304SS</t>
  </si>
  <si>
    <t>Propela Turbina 800 mm eje 2 1/2" con Casquete Acero 304SS</t>
  </si>
  <si>
    <t>Propela Turbina 800 mm eje 3" con Casquete Acero 304SS</t>
  </si>
  <si>
    <t>Propela Turbina 800 mm eje 4" con Casquete Acero 304SS</t>
  </si>
  <si>
    <t>Propela Turbina 800 mm eje 6" con Casquete Acero 304SS</t>
  </si>
  <si>
    <t>Propela Turbina 800 mm eje 6" con Casquete Acero 316SS</t>
  </si>
  <si>
    <t>Propela Turbina 800 mm eje 5" con Casquete Acero 304SS</t>
  </si>
  <si>
    <t>Propela Turbina 1000 mm eje 3" con Casquete Acero 304SS</t>
  </si>
  <si>
    <t>Propela Turbina 1000 mm eje 4" con Casquete Acero 304SS</t>
  </si>
  <si>
    <t>Propela Turbina 1000 mm eje 4" con Casquete Acero 316SS</t>
  </si>
  <si>
    <t>Propela Turbina 1000 mm eje 6" con Casquete Acero 304SS</t>
  </si>
  <si>
    <t>Propela Turbina 1200 mm eje 3" con Casquete Acero 316SS</t>
  </si>
  <si>
    <t>Propela Turbina 1200 mm eje 4" con Casquete Acero 316SS</t>
  </si>
  <si>
    <t>Propela Turbina 900 mm eje 1 1/2" con Manzana Acero 304SS</t>
  </si>
  <si>
    <t>Propela Turbina 900 mm eje 3" con Casquete Acero 304SS</t>
  </si>
  <si>
    <t>Propela Turbina 900 mm eje 3" con Casquete Acero 316SS</t>
  </si>
  <si>
    <t>Propela Turbina 900 mm eje 5" con Casquete Acero 304SS</t>
  </si>
  <si>
    <t>Propela Tripala 200 mm eje 1" con Manzana Acero 304SS</t>
  </si>
  <si>
    <t>Propela Tripala 200 mm eje 1" con Manzana Acero 316SS</t>
  </si>
  <si>
    <t>Propela Tripala 200 mm eje 1 1/4" con Manzana Acero 304SS</t>
  </si>
  <si>
    <t>Propela Tripala 300 mm eje 1" con Manzana Acero 304SS</t>
  </si>
  <si>
    <t>Propela Tripala 300 mm eje 1" con Manzana Acero 316SS</t>
  </si>
  <si>
    <t>Propela Tripala 300 mm eje 1 1/4" con Manzana Acero 304SS</t>
  </si>
  <si>
    <t>Propela Tripala 300 mm eje 1 1/4" con Manzana Acero 316SS</t>
  </si>
  <si>
    <t>Propela Tripala 300 mm eje 1 1/2" con Manzana Acero 304SS</t>
  </si>
  <si>
    <t>Propela Tripala 300 mm eje 2" con Casquete Acero 304SS</t>
  </si>
  <si>
    <t>Propela Tripala 400 mm eje 1" con Manzana Acero 304SS</t>
  </si>
  <si>
    <t>Propela Tripala 400 mm eje 1" con Manzana Acero 316SS</t>
  </si>
  <si>
    <t>Propela Tripala 400 mm eje 1 1/4" con Manzana Acero 304SS</t>
  </si>
  <si>
    <t>Propela Tripala 400 mm eje 1 1/4" con Manzana Acero 316SS</t>
  </si>
  <si>
    <t>Propela Tripala 400 mm eje 1 1/2" con Casquete Acero  304SS</t>
  </si>
  <si>
    <t>Propela Tripala 400 mm eje 1 1/2" con Manzana Acero  304SS</t>
  </si>
  <si>
    <t>Propela Tripala 400 mm eje 2" con Casquete Acero 304SS</t>
  </si>
  <si>
    <t>Propela Tripala 400 mm eje 2" con Manzana Acero 304SS</t>
  </si>
  <si>
    <t>Propela Tripala 400 mm eje 2 1/2" con Casquete Acero 304SS</t>
  </si>
  <si>
    <t>Propela Tripala 500 mm eje 1" con Manzana Acero 304SS</t>
  </si>
  <si>
    <t>Propela Tripala 500 mm eje 1 1/4" con Manzana Acero 304SS</t>
  </si>
  <si>
    <t>Propela Tripala 500 mm eje 1 1/2" con casquete 304SS</t>
  </si>
  <si>
    <t>Propela Tripala 500 mm eje 1 1/2" con casquete 316SS</t>
  </si>
  <si>
    <t>Propela Tripala 500 mm eje 1 1/2" con Manzana Acero 304SS</t>
  </si>
  <si>
    <t>Propela Tripala 500 mm eje 1 1/2" con Manzana Acero 316SS</t>
  </si>
  <si>
    <t>Propela Tripala 500 mm eje 2" con Casquete Acero 304SS</t>
  </si>
  <si>
    <t>Propela Tripala 500 mm eje 2" con Casquete Acero 316SS</t>
  </si>
  <si>
    <t>Propela Tripala 500 mm eje 2" con Manzana Acero 304SS</t>
  </si>
  <si>
    <t>Propela Tripala 500 mm eje 2" con Manzana Acero 316SS</t>
  </si>
  <si>
    <t>Propela Tripala 500 mm eje 2 1/2" con Manzana Acero 304SS</t>
  </si>
  <si>
    <t>Propela Tripala 500 mm eje 2 1/2" con Manzana Acero 316SS</t>
  </si>
  <si>
    <t>Propela Tripala 500 mm eje 2 1/2" con Casquete Acero 304SS</t>
  </si>
  <si>
    <t>Propela Tripala 500 mm eje 3" con Casquete Acero 304SS</t>
  </si>
  <si>
    <t>Propela Tripala 500 mm eje 4" con Manzana Acero 304SS</t>
  </si>
  <si>
    <t>Propela Tripala 600 mm eje 1" con manzana Acero 304SS</t>
  </si>
  <si>
    <t>Propela Tripala 600 mm eje 1 1/4" con Manzana Acero 304SS</t>
  </si>
  <si>
    <t>Propela Tripala 600 mm eje 1 1/2" con manzana Acero 304SS</t>
  </si>
  <si>
    <t>Propela Tripala 600 mm eje 1 1/2" con manzana Acero 316SS</t>
  </si>
  <si>
    <t>Propela Tripala 600 mm eje 2" con Casquete Acero 304SS</t>
  </si>
  <si>
    <t>Propela Tripala 600 mm eje 2" con Manzana Acero 304SS</t>
  </si>
  <si>
    <t>Propela Tripala 600 mm eje 2 1/2" con Casquete Acero 304SS</t>
  </si>
  <si>
    <t>Propela Tripala 600 mm eje 2 1/2" con Casquete Acero 316SS</t>
  </si>
  <si>
    <t>Propela Tripala 600 mm eje 2 1/2" con Manzana Acero 304SS</t>
  </si>
  <si>
    <t>Propela Tripala 600 mm eje 3" con Casquete Acero 304SS</t>
  </si>
  <si>
    <t>Propela Tripala 600 mm eje 4" con Casquete Acero 304SS</t>
  </si>
  <si>
    <t>Propela Tripala 700 mm eje 1 1/4" con Manzana Acero 304SS</t>
  </si>
  <si>
    <t>Propela Tripala 700 mm eje 1 1/4" con Manzana Acero 316SS</t>
  </si>
  <si>
    <t>Propela Tripala 700 mm eje 1 1/2" con Manzana Acero 304SS</t>
  </si>
  <si>
    <t>Propela Tripala 700 mm eje 2" con Casquete Acero 304SS</t>
  </si>
  <si>
    <t>Propela Tripala 700 mm eje 2" con Casquete Acero 316SS</t>
  </si>
  <si>
    <t>Propela Tripala 700 mm eje 2" con Manzana Acero 304SS</t>
  </si>
  <si>
    <t>Propela Tripala 700 mm eje 2 1/2" con Casquete Acero 304SS</t>
  </si>
  <si>
    <t>Propela Tripala 700 mm eje 2 1/2" con Casquete Acero 316SS</t>
  </si>
  <si>
    <t>Propela Tripala 700 mm eje 3" con Casquete Acero 304SS</t>
  </si>
  <si>
    <t>Propela Tripala 700 mm eje 3" con Casquete Acero 316SS</t>
  </si>
  <si>
    <t>Propela Tripala 700 mm eje 4" con Casquete Acero 304SS</t>
  </si>
  <si>
    <t>Propela Tripala 700 mm eje 4" con Casquete Acero 316SS</t>
  </si>
  <si>
    <t>Propela Tripela 800 mm eje 1 1/4" con Manzana Acero 304SS</t>
  </si>
  <si>
    <t xml:space="preserve">Propela Tripala 800 mm eje 1 1/2" con Casquete Acero 304SS </t>
  </si>
  <si>
    <t xml:space="preserve">Propela Tripala 800 mm eje 1 1/2" con Manzana Acero 304SS </t>
  </si>
  <si>
    <t xml:space="preserve">Propela Tripala 800 mm eje 2" con Casquete Acero 304SS </t>
  </si>
  <si>
    <t xml:space="preserve">Propela Tripala 800 mm eje 2" con Manzana Acero 304SS </t>
  </si>
  <si>
    <t>Propela Tripala 800 mm eje 2 1/2" con Casquete Acero 304SS</t>
  </si>
  <si>
    <t>Propela Tripala 800 mm eje 2 1/2" con Casquete Acero 316SS</t>
  </si>
  <si>
    <t>Propela Tripala 800 mm eje 3" con Casquete Acero 304SS</t>
  </si>
  <si>
    <t>Propela Tripala 800 mm eje 3" con Casquete Acero 316SS</t>
  </si>
  <si>
    <t>Propela Tripala 800 mn eje 4" con Casquete Acero 304SS</t>
  </si>
  <si>
    <t>Propela Tripala 800 mm eje 6" con Casquete Acero 304SS</t>
  </si>
  <si>
    <t>Propela Tripala 800 mm eje 6" con Casquete Acero 316SS</t>
  </si>
  <si>
    <t>Propela Tripala 1000 mm eje 1 1/2" con Casquete Acero 304SS</t>
  </si>
  <si>
    <t>Propela Tripala 1000 mm eje 2" con Casquete Acero 304SS</t>
  </si>
  <si>
    <t>Propela Tripala 1000 mm eje 2" con Manzana Acero 304SS</t>
  </si>
  <si>
    <t>Propela Tripala 1000 mm eje 2" con Manzana Acero 316SS</t>
  </si>
  <si>
    <t>Propela Tripala 1000 mm eje 2 1/2" con Casquete Acero 304SS</t>
  </si>
  <si>
    <t>Propela Tripala 1000 mm eje 2 1/2" con Casquete Acero 316SS</t>
  </si>
  <si>
    <t>Propela Tripala 1000 mm eje 3" con Casquete Acero 304SS</t>
  </si>
  <si>
    <t>Propela Tripala 1000 mm eje 3" con Casquete Acero 316SS</t>
  </si>
  <si>
    <t>Propela Tripala 1000 mm eje 4" con Casquete Acero 304SS</t>
  </si>
  <si>
    <t>Propela Tripala 1000 mm eje 4" con Casquete Acero 316SS</t>
  </si>
  <si>
    <t>Propela Tripala 1000 mm eje 6" con Casquete Acero 304SS</t>
  </si>
  <si>
    <t>Propela Tripala 1000 mm eje 6" con Casquete Acero 316SS</t>
  </si>
  <si>
    <t>Propela Tripala 1200 mm eje 2 " con Casquete Acero 304SS</t>
  </si>
  <si>
    <t>Propela Tripala 1200 mm eje 2" con Manzana Acero 304SS</t>
  </si>
  <si>
    <t>Propela Tripala 1200 mm eje 2 1/2" con Manzana Acero 304SS</t>
  </si>
  <si>
    <t>Propela Tripala 1200 mm eje 3 " con Casquete Acero 304SS</t>
  </si>
  <si>
    <t>Propela Tripala 1200 mm eje 3" con Casquete Acero 316SS</t>
  </si>
  <si>
    <t>Propela Tripala 1200 mm eje 4 " con Casquete Acero 304SS</t>
  </si>
  <si>
    <t>Propela Tripala 1200 mm eje 4 " con Casquete Acero 316SS</t>
  </si>
  <si>
    <t>Propela Tripala 1200 mm eje 6" con Casquete Acero 304SS</t>
  </si>
  <si>
    <t>Propela Tripala 1200 mm eje 6" con Casquete Acero 316SS</t>
  </si>
  <si>
    <t>Propela Tripala 1200 mm eje 8" con Casquete Acero 304SS</t>
  </si>
  <si>
    <t>Propela Tripala 1200 mm eje 5" con Casquete Acero 304SS</t>
  </si>
  <si>
    <t>Propela Tripala 1500 mm eje 2" con Casquete Acero 304SS</t>
  </si>
  <si>
    <t>Propela Tripala 1500 mm eje 2 1/2" con Casquete Acero 304SS</t>
  </si>
  <si>
    <t>Propela Tripala 1500 mm eje 3" con Casquete Acero 316SS</t>
  </si>
  <si>
    <t>Propela Tripala 1500 mm eje 3" con Casquete Acero 304SS</t>
  </si>
  <si>
    <t>Propela Tripala 1500 mm eje 4" con Casquete Acero 304SS</t>
  </si>
  <si>
    <t>Propela Tripala 1500 mm eje 4" con Casquete Acero 316SS</t>
  </si>
  <si>
    <t>Propela Tripala 1500 mm eje 6" con Casquete Acero 304SS</t>
  </si>
  <si>
    <t>Propela Tripala 1500 mm eje 6" con Casquete Acero 316SS</t>
  </si>
  <si>
    <t>Propela Tripala 1800 mm eje 2 1/2" con Casquete 316SS</t>
  </si>
  <si>
    <t>Propela Tripala 1800 mm eje 3" con Casquete 304SS</t>
  </si>
  <si>
    <t>Propela Tripala 1800 mm eje 3" con Casquete 316SS</t>
  </si>
  <si>
    <t>Propela Tripala 1800 mm eje 4" con Casquete 304SS</t>
  </si>
  <si>
    <t>Propela Tripala 1800 mm eje 4" con Casquete 316SS</t>
  </si>
  <si>
    <t>Propela Tripala 1800 mm eje 6" con Casquete 304SS</t>
  </si>
  <si>
    <t>Propela Tripala 1800 mm eje 6" con Casquete 316SS</t>
  </si>
  <si>
    <t>Propela Tripala 1800 mm eje 8" con Casquete 304SS</t>
  </si>
  <si>
    <t>Propela Tripala 1800 mm eje 8" con Casquete 316SS</t>
  </si>
  <si>
    <t>Propela Tripala 2000 mm eje 3" con Casquete 304SS</t>
  </si>
  <si>
    <t>Propela Tripala 2000 mm eje 4" con Casquete 304SS</t>
  </si>
  <si>
    <t>Propela Tripala 2000 mm eje 6" con Casquete 304SS</t>
  </si>
  <si>
    <t>Propela Tripala 2500 mm eje 4" con Casquete 304SS</t>
  </si>
  <si>
    <t>Propela Tripala 2500 mm eje 8" con Casquete 304SS</t>
  </si>
  <si>
    <t>Propela Tripala 3000 mm eje 6" con Casquete 304SS</t>
  </si>
  <si>
    <t>Propela Tripala 3000 mm eje 8" con Casquete 304SS</t>
  </si>
  <si>
    <t>Propela Gcaudal 400 mm eje 1" con Manzana 304SS</t>
  </si>
  <si>
    <t>Propela Gcaudal 500 mm eje 1 1/4" con Manzana 304SS</t>
  </si>
  <si>
    <t>Propela Gcaudal 600 mm eje 2" con Casquete 304SS</t>
  </si>
  <si>
    <t>Propela Gcaudal 600 mm eje 2" con Casquete 316SS</t>
  </si>
  <si>
    <t>Propela Gcaudal 800 mm eje 2" con Casquete 304SS</t>
  </si>
  <si>
    <t>Propela Gcaudal 1000 mm eje 2 1/2" con Casquete 304SS</t>
  </si>
  <si>
    <t>Propela Gcaudal 1000 mm eje 3" con Casquete 304SS</t>
  </si>
  <si>
    <t>Propela Gcaudal 1000 mm eje 4" con Casquete 304SS</t>
  </si>
  <si>
    <t>Propela Gcaudal 1000 mm eje 6" con Casquete 304SS</t>
  </si>
  <si>
    <t>Propela Gcaudal 1000 mm eje 6" con Casquete 316SS</t>
  </si>
  <si>
    <t>Propela Gcaudal 1200 mm eje 4" con Casquete 304SS</t>
  </si>
  <si>
    <t>Propela Gcaudal 1500 mm eje 6" con Casquete 304SS</t>
  </si>
  <si>
    <t>Propela Gcaudal 1500 mm eje 6" con Casquete 316SS</t>
  </si>
  <si>
    <t>Propela Gcaudal 1800 mm eje 10" con Casquete 304SS</t>
  </si>
  <si>
    <t>Propela Gcaudal 1800 mm eje 10" con Casquete 316SS</t>
  </si>
  <si>
    <t>Propela Gcaudal 1400 mm eje 4" con Casquete 304SS</t>
  </si>
  <si>
    <t>Propela Gcaudal 1600 mm eje 4" con Casquete 304SS</t>
  </si>
  <si>
    <t>Propela Gcaudal 1600 mm eje 6" con Casquete 304SS</t>
  </si>
  <si>
    <t>Propela Bipala 400 mm eje 1 1/4" con Manzana 304SS</t>
  </si>
  <si>
    <t>Propela Bipala 500 mm eje 1 1/4" con Manzana 304SS</t>
  </si>
  <si>
    <t>Propela Bipala 500 mm eje 2" con Manzana 304SS</t>
  </si>
  <si>
    <t>Propela Bipala 600 mm eje 2 1/2" con Casquete 304SS</t>
  </si>
  <si>
    <t>Propela Bipala 800 eje 2" con Casquete 304SS</t>
  </si>
  <si>
    <t>Propela Bipala 800 eje 1 1/2" con Casquete 304SS</t>
  </si>
  <si>
    <t>Propela Bipala 800 mm eje 3" con Casquete 304SS</t>
  </si>
  <si>
    <t>Propela Bipala 1000 mm eje 1 1/2" con Casquete 304SS</t>
  </si>
  <si>
    <t>Propela Bipala 1000 mm eje 4" con Casquete 304SS</t>
  </si>
  <si>
    <t>Propela Bipala 1200 mm eje 2 1/2" con Casquete 304SS</t>
  </si>
  <si>
    <t>Propela Bipala 1200 mm eje 3" con Casquete 304SS</t>
  </si>
  <si>
    <t>Propela Bipala 1500 mm eje 3" con Casquete 304SS</t>
  </si>
  <si>
    <t>Propela Bipala 2000 mm eje 2 " con Casquete 304SS</t>
  </si>
  <si>
    <t>Propela Bipala 2000 mm eje 2 1/2" con Casquete 304SS</t>
  </si>
  <si>
    <t>Propela Bipala 2000 mm eje 3" con Casquete 304SS</t>
  </si>
  <si>
    <t>Propela Bipala 2000 mm eje 6" con Casquete 316SS</t>
  </si>
  <si>
    <t>Propela Bipala 2000 mm eje 8" con Casquete 316SS</t>
  </si>
  <si>
    <t>Propela Bipala 1600 mm eje 2" con Casquete 304SS</t>
  </si>
  <si>
    <t>Propela Bipala 1600 mm eje 2" con Casquete 316SS</t>
  </si>
  <si>
    <t>Propela Bipala 1600 mm eje 2 1/2" con Casquete 316SS</t>
  </si>
  <si>
    <t>Propela Bipala 1600 mm eje 3" con Casquete 304SS</t>
  </si>
  <si>
    <t>Propela Bipala 1600 mm eje 3" con Casquete 316SS</t>
  </si>
  <si>
    <t>Propela Bipala 1600 mm eje 4" con Casquete 304SS</t>
  </si>
  <si>
    <t>Propela Bipala 1600 mm eje 4" con Casquete 316SS</t>
  </si>
  <si>
    <t>Propela Bipala 1600 mm eje 8" con Casquete 316SS</t>
  </si>
  <si>
    <t>Propela Bipala 3600 mm eje 4" con Casquete 304SS</t>
  </si>
  <si>
    <t>Propela Bipala 3600 mm eje 8" con Casquete 304SS</t>
  </si>
  <si>
    <t>Propela Bipala 3600 mm eje 8" con Casquete 316SS</t>
  </si>
  <si>
    <t>Propela Bipala 2500 mm eje 3" con Casquete 304SS</t>
  </si>
  <si>
    <t>Propela Bipala 2500 mm eje 3" con Casquete 316SS</t>
  </si>
  <si>
    <t>Propela Bipala 2500 mm eje 4" con Casquete 304SS</t>
  </si>
  <si>
    <t>Propela Bipala 2500 mm eje 6" con Casquete 304SS</t>
  </si>
  <si>
    <t>Propela Bipala 2500 mm eje 6" con Casquete 316SS</t>
  </si>
  <si>
    <t>Propela Bipala 2500 mm eje 8" con Casquete 316SS</t>
  </si>
  <si>
    <t>Propela Bipala 3000 mm eje 3" con Casquete 304SS</t>
  </si>
  <si>
    <t>Propela Bipala 3000 mm eje 4" con Casquete 304SS</t>
  </si>
  <si>
    <t>Propela Bipala 3000 mm eje 4" con Casquete 316SS</t>
  </si>
  <si>
    <t>Propela Bipala 3000 mm eje 6" con Casquete 304SS</t>
  </si>
  <si>
    <t>Propela Bipala 3000 mm eje 6" con Casquete 316SS</t>
  </si>
  <si>
    <t>Propela Bipala 3000 mm eje 8" con Casquete 316SS</t>
  </si>
  <si>
    <t>Propela GCE 400 mm eje 1 " con Manzana 304SS</t>
  </si>
  <si>
    <t>Propela GCE 400 mm eje 1 " con Manzana 316SS</t>
  </si>
  <si>
    <t>Propela GCE 400 mm eje 1 1/4" con Manzana 304SS</t>
  </si>
  <si>
    <t>Propela GCE 400 mm eje 1 1/4" con Manzana 316SS</t>
  </si>
  <si>
    <t>Propela GCE 400 mm eje 1 1/2" con Manzana 304SS</t>
  </si>
  <si>
    <t>ACOPLE DIRECTO</t>
  </si>
  <si>
    <t>Acople directo EJE AG 1 " EJE MR 14 mm 304SS</t>
  </si>
  <si>
    <t>Acople directo EJE AG 1 " EJE MR 14 mm 316SS</t>
  </si>
  <si>
    <t>Acople directo EJE AG 1 1/4" EJE MR 14 mm 304SS</t>
  </si>
  <si>
    <t>Acople directo EJE AG 1 " EJE MR 18 mm 304SS</t>
  </si>
  <si>
    <t>Acople directo EJE AG 1 " EJE MR 18 mm 316SS</t>
  </si>
  <si>
    <t>Acople directo EJE AG 1 1/4" EJE MR 18 mm 304SS</t>
  </si>
  <si>
    <t>Acople directo EJE AG 1 1/4" EJE MR 18 mm 316SS</t>
  </si>
  <si>
    <t>Acople directo EJE AG 1 1/2" EJE MR 18 mm 304SS</t>
  </si>
  <si>
    <t>Acople directo EJE AG 1 " EJE MR 20 mm 304SS</t>
  </si>
  <si>
    <t>Acople directo EJE AG 1" EJE MR 20 mm 316SS</t>
  </si>
  <si>
    <t>Acople directo EJE AG 1 1/4" EJE MR 20 mm 304SS</t>
  </si>
  <si>
    <t>Acople directo EJE AG 1 1/4" EJE MR 20 mm 316SS</t>
  </si>
  <si>
    <t>Acople directo EJE AG 1 1/2" EJE MR 20 mm 304SS</t>
  </si>
  <si>
    <t>Acople directo EJE AG 1" EJE MR 25 mm 304SS</t>
  </si>
  <si>
    <t>Acople directo EJE AG 1 1/4" EJE MR 25 mm 304SS</t>
  </si>
  <si>
    <t>Acople directo EJE AG 1 1/2" EJE MR 25 mm 304SS</t>
  </si>
  <si>
    <t>Acole directo EJE AG 1 1/2" EJE MR 25 mm 316SS</t>
  </si>
  <si>
    <t>Acople directo EJE AG 2 " EJE MR 25 mm 304SS</t>
  </si>
  <si>
    <t>Acople directo EJE AG 1 1/4" EJE MR 30 mm 304SS</t>
  </si>
  <si>
    <t>Acople directo EJE AG 1 1/4" EJE MR 30 mm 316SS</t>
  </si>
  <si>
    <t>Acople directo EJE AG 1 1/2" EJE MR 30 mm 304SS</t>
  </si>
  <si>
    <t>Acople directo EJE AG 1 1/2" EJE MR 30 mm 316SS</t>
  </si>
  <si>
    <t>Acople directo EJE AG 2" EJE MR 30 mm 304SS</t>
  </si>
  <si>
    <t>Acople directo EJE AG 1 1/2" EJE MR 35 mm 304SS</t>
  </si>
  <si>
    <t>Acople directo EJE AG 2 " EJE MR 35 mm 304SS</t>
  </si>
  <si>
    <t>ACOPLE BRIDADO</t>
  </si>
  <si>
    <t>Acople bridado EJE AG 1 1/4" EJE MR 20 mm 304SS</t>
  </si>
  <si>
    <t>Acople bridado EJE AG 1 1/2" EJE MR 20 mm 304SS</t>
  </si>
  <si>
    <t>Acople bridado EJE AG 1 1/2" EJE MR 25 mm 304SS</t>
  </si>
  <si>
    <t>Acople bridado EJE AG 1 1/2" EJE MR 25 mm 316SS</t>
  </si>
  <si>
    <t>Acople bridado EJE AG 1 1/2" EJE MR 30 mm 304SS</t>
  </si>
  <si>
    <t>Acople bridado EJE AG 1 1/2" EJE MR 35 mm 304SS</t>
  </si>
  <si>
    <t>Acople bridado EJE AG 2" EJE MR 20 mm 304SS</t>
  </si>
  <si>
    <t>Acople bridado EJE AG 2" EJE MR 25 mm 304SS</t>
  </si>
  <si>
    <t>Acople bridado EJE AG 2" EJE MR 25 mm 316SS</t>
  </si>
  <si>
    <t>Acople bridado EJE AG 2" EJE MR 30 mm 304SS</t>
  </si>
  <si>
    <t>Acople bridado EJE AG 2" EJE MR 30 mm 316SS</t>
  </si>
  <si>
    <t>Acople bridado EJE AG 2" EJE MR 35 mm 304SS</t>
  </si>
  <si>
    <t>Acople bridado EJE AG 2" EJE MR 35 mm 316SS</t>
  </si>
  <si>
    <t>Acople bridado EJE AG 2" EJE MR 40 mm 304SS</t>
  </si>
  <si>
    <t>Acople bridado EJE AG 2 1/2" EJE MR 25 mm 304SS</t>
  </si>
  <si>
    <t>Acople bridado EJE AG 2 1/2" EJE MR 30 mm 304SS</t>
  </si>
  <si>
    <t>Acople bridado EJE AG 2 1/2" EJE MR 30 mm 316SS</t>
  </si>
  <si>
    <t>Acople bridado EJE AG 2 1/2" EJE MR 35 mm 304SS</t>
  </si>
  <si>
    <t>Acople bridado EJE AG 2 1/2" EJE MR 35 mm 316SS</t>
  </si>
  <si>
    <t>Acople bridado EJE AG 2 1/2" EJE MR 40 mm 304SS</t>
  </si>
  <si>
    <t>Acople bridado EJE AG 2 1/2" EJE MR 40 mm 316SS</t>
  </si>
  <si>
    <t>Acople bridado EJE AG 2 1/2" EJE MR 50 mm 304SS</t>
  </si>
  <si>
    <t>Acople bridado EJE AG 2 1/2" EJE MR 50 mm 316SS</t>
  </si>
  <si>
    <t>Acople bridado EJE AG 3" EJE MR 25 mm 304SS</t>
  </si>
  <si>
    <t>Acople bridado EJE AG 3" EJE MR 25 mm 316SS</t>
  </si>
  <si>
    <t>Acople bridado EJE AG 3" EJE MR 35 mm 304SS</t>
  </si>
  <si>
    <t>Acople bridado EJE AG 3" EJE MR 35 mm 316SS</t>
  </si>
  <si>
    <t>Acople bridado EJE AG 3" EJE MR 40 mm 304SS</t>
  </si>
  <si>
    <t>Acople bridado EJE AG 3" EJE MR 40 mm 316SS</t>
  </si>
  <si>
    <t>Acople bridado EJE AG 3" EJE MR 50 mm 304SS</t>
  </si>
  <si>
    <t>Acople bridado EJE AG 3" EJE MR 50 mm 316SS</t>
  </si>
  <si>
    <t>Acople bridado EJE AG 3" EJE MR 60 mm 304SS</t>
  </si>
  <si>
    <t>Acople bridado EJE AG 3" EJE MR 70 mm 304SS</t>
  </si>
  <si>
    <t>Acople bridado EJE AG 4" EJE MR 30 mm 304SS</t>
  </si>
  <si>
    <t>Acople bridado EJE AG 4" EJE MR 35 mm 304SS</t>
  </si>
  <si>
    <t>Acople bridado EJE AG 4" EJE MR 40 mm 304SS</t>
  </si>
  <si>
    <t>Acople bridado EJE AG 4" EJE MR 40 mm 316SS</t>
  </si>
  <si>
    <t>Acople bridado EJE AG 4" EJE MR 50 mm 304SS</t>
  </si>
  <si>
    <t>Acople bridado EJE AG 4" EJE MR 50 mm 316SS</t>
  </si>
  <si>
    <t>Acople bridado EJE AG 4" EJE MR 60 mm 304SS</t>
  </si>
  <si>
    <t>Acople bridado EJE AG 4" EJE MR 60 mm 316SS</t>
  </si>
  <si>
    <t>Acople bridado EJE AG 4" EJE MR 70 mm 304SS</t>
  </si>
  <si>
    <t>Acople bridado EJE AG 6" EJE MR 50 mm Acero 304SS</t>
  </si>
  <si>
    <t>Acople bridado EJE AG 6" EJE MR 50 mm Acero 316SS</t>
  </si>
  <si>
    <t>Acople bridado EJE AG 6" EJE MR 60 mm Acero 304SS</t>
  </si>
  <si>
    <t>Acople bridado EJE AG 6" EJE MR 60 mm Acero 316SS</t>
  </si>
  <si>
    <t>Acople bridado EJE AG 6" EJE MR 60 mm Acero al Carbono</t>
  </si>
  <si>
    <t>Acople bridado EJE AG 6" EJE MR 70 mm Acero 304SS</t>
  </si>
  <si>
    <t>Acople bridado EJE AG 6" EJE MR 70 mm Acero 316SS</t>
  </si>
  <si>
    <t>Acople bridado EJE AG 6" EJE MR 90 mm Acero 304SS</t>
  </si>
  <si>
    <t>Acople bridado EJE AG 6" EJE MR 100 mm Acero 304SS</t>
  </si>
  <si>
    <t>Acople bridado EJE AG 8" EJE MR 70 mm Acero 304SS</t>
  </si>
  <si>
    <t>Acople bridado EJE AG 8" EJE MR 90 mm 316SS</t>
  </si>
  <si>
    <t>Acople bridado EJE AG 8" EJE MR 120 mm 304SS</t>
  </si>
  <si>
    <t>Acople bridado EJE AG 8" EJE MR 120 mm 316SS</t>
  </si>
  <si>
    <t>Acople bridado EJE AG 10" EJE MR 120 mm 304SS</t>
  </si>
  <si>
    <t>Acople bridado EJE AG 10" EJE MR 120 mm 316SS</t>
  </si>
  <si>
    <t>EJE MACIZO</t>
  </si>
  <si>
    <t>Eje macizo 1" 500-1000 mm 304SS</t>
  </si>
  <si>
    <t>Eje macizo 1" 500-1000 mm 316SS</t>
  </si>
  <si>
    <t>Eje macizo 1 1/4" 500-1000 mm 304SS</t>
  </si>
  <si>
    <t>Eje macizo 1 1/4" 500-1000 mm 316SS</t>
  </si>
  <si>
    <t>Eje macizo 1 1/2" 500 - 1000 mm 304SS</t>
  </si>
  <si>
    <t>Eje macizo 1 1/2" 500 - 1000 mm 316SS</t>
  </si>
  <si>
    <t>Eje macizo 2" 500 - 1000 mm 304SS</t>
  </si>
  <si>
    <t>Eje macizo 1" 1000-1500 mm 304SS</t>
  </si>
  <si>
    <t>Eje macizo 1 1/4" 1000-1500 mm 304SS</t>
  </si>
  <si>
    <t>Eje macizo 1 1/4" 1000-1500 mm 316SS</t>
  </si>
  <si>
    <t>Eje macizo 1 1/2" 1000 - 1500 mm 304SS</t>
  </si>
  <si>
    <t>Eje macizo 1 1/2" 1000 - 1500 mm 316SS</t>
  </si>
  <si>
    <t>Eje macizo 2" 1000-1500 mm 304SS</t>
  </si>
  <si>
    <t>Eje macizo 1" 1500-2000 mm 304SS</t>
  </si>
  <si>
    <t>Eje macizo 1 1/4" 1500-2000 mm 304SS</t>
  </si>
  <si>
    <t>Eje macizo 1 1/4" 1500-2000 mm 316SS</t>
  </si>
  <si>
    <t>Eje macizo 1 1/2" 2000 mm 304SS</t>
  </si>
  <si>
    <t>Eje macizo 1" 650 mm 304SS</t>
  </si>
  <si>
    <t>Eje macizo 1" 600 mm 316SS</t>
  </si>
  <si>
    <t>Eje macizo 1" 900 mm 304SS</t>
  </si>
  <si>
    <t>Eje macizo 1 1/4" 1090 mm 304SS</t>
  </si>
  <si>
    <t>Eje macizo 1 1/4" 1450 mm 304SS</t>
  </si>
  <si>
    <t>Eje macizo 2" 1600 mm 304SS</t>
  </si>
  <si>
    <t>Eje macizo 1 1/2" 1060 mm 316SS</t>
  </si>
  <si>
    <t>Eje macizo 2" 1800 mm 304SS</t>
  </si>
  <si>
    <t>Eje macizo bridado 2" 1000-1500 mm 316SS</t>
  </si>
  <si>
    <t>Eje macizo 2" 2100 mm 304SS</t>
  </si>
  <si>
    <t>Eje macizo 1" 590 mm 304SS</t>
  </si>
  <si>
    <t>Eje macizo 1" 860 mm 304SS</t>
  </si>
  <si>
    <t>Eje macizo 1 1/2" 1350 mm 316SS</t>
  </si>
  <si>
    <t>Eje macizo 1 1/2" 1800 mm 304SS</t>
  </si>
  <si>
    <t>Eje macizo 1" 1200 mm 316SS</t>
  </si>
  <si>
    <t>Eje macizo 1" 1080 mm 304SS</t>
  </si>
  <si>
    <t>Eje macizo 1 1/4" 1350 mm 304SS</t>
  </si>
  <si>
    <t>Eje macizo 2" 1620 mm 304SS</t>
  </si>
  <si>
    <t>Eje macizo 2" 1840 mm 304SS</t>
  </si>
  <si>
    <t>Eje macizo 1 1/2" 2060 mm 304SS</t>
  </si>
  <si>
    <t>Eje macizo 1 1/2" 1350 mm 304SS</t>
  </si>
  <si>
    <t>Eje macizo 1 1/2" 2200 mm 304SS</t>
  </si>
  <si>
    <t>Eje macizo 1 1/2" 2300 mm 304SS</t>
  </si>
  <si>
    <t>Eje macizo 2" 700 mm 304SS</t>
  </si>
  <si>
    <t>Eje macizo 2" 2600 mm 304SS</t>
  </si>
  <si>
    <t>Eje macizo 2" 2640 mm 304SS</t>
  </si>
  <si>
    <t>Eje macizo 2" 1250 mm 304SS</t>
  </si>
  <si>
    <t>Eje macizo 2" 2160 mm 304SS</t>
  </si>
  <si>
    <t>Eje macizo 1 1/4" 660 mm 304SS</t>
  </si>
  <si>
    <t>Eje macizo 1" 1250 mm 304SS</t>
  </si>
  <si>
    <t>Eje macizo 2" 1000 mm 304SS</t>
  </si>
  <si>
    <t>Eje macizo bridado 2" 1300 mm 304SS</t>
  </si>
  <si>
    <t>Eje macizo bridado 1 1/4" 2000 mm 304SS</t>
  </si>
  <si>
    <t>Eje macizo bridado 1 1/2" 1200 mm 304SS</t>
  </si>
  <si>
    <t>Eje macizo bridado 2" 1200 mm 304SS</t>
  </si>
  <si>
    <t>EJE TUBULAR</t>
  </si>
  <si>
    <t>Eje tubular 1 1/2" Hasta 2000 mm 304SS</t>
  </si>
  <si>
    <t>Eje tubular 1 1/2" Hasta 2000 mm 316SS</t>
  </si>
  <si>
    <t>Eje tubular 2" Hasta 2000 mm 304SS</t>
  </si>
  <si>
    <t>Eje tubular 2" Hasta 2000 mm 316SS</t>
  </si>
  <si>
    <t>Eje tubular 2 1/2" Hasta 2000 mm 304SS</t>
  </si>
  <si>
    <t>Eje tubular 2 1/2" Hasta 2000 mm 316SS</t>
  </si>
  <si>
    <t>Eje tubular 3" Hasta 2000 mm 304SS</t>
  </si>
  <si>
    <t>Eje tubular 3" Hasta 2000 mm 316SS</t>
  </si>
  <si>
    <t>Eje tubular 4" Hasta 2000 mm 304SS</t>
  </si>
  <si>
    <t>Eje tubular 4" Hasta 2000 mm 316SS</t>
  </si>
  <si>
    <t>Eje tubular 6" Hasta 2000 mm 304SS</t>
  </si>
  <si>
    <t>Eje tubular 1 1/2" Hasta 3500 mm 304SS</t>
  </si>
  <si>
    <t>Eje tubular 2" 2000-3500 mm 304SS</t>
  </si>
  <si>
    <t>Eje tubular 2" 2000-3500 mm 316SS</t>
  </si>
  <si>
    <t>Eje tubular 2 1/2" 2000-3500 mm 304SS</t>
  </si>
  <si>
    <t>Eje tubular 2 1/2" 2000-3500 mm 316SS</t>
  </si>
  <si>
    <t>Eje tubular 3"  2000-3500 mm 304SS</t>
  </si>
  <si>
    <t>Eje tubular 3"  2000-3500 mm 316SS</t>
  </si>
  <si>
    <t>Eje tubular 4" 2000-3500mm 304SS</t>
  </si>
  <si>
    <t>Eje tubular 4" 2000-3500 mm 316SS</t>
  </si>
  <si>
    <t>Eje tubular 6" 2000-3500 mm 304SS</t>
  </si>
  <si>
    <t>Eje tubular 6" 2000-3500 mm 316SS</t>
  </si>
  <si>
    <t>Eje tubular 8" 2000-3500 mm 316SS</t>
  </si>
  <si>
    <t>Eje tubular 10" 2000-3500 mm 304SS</t>
  </si>
  <si>
    <t>Eje tubular 10" 2000-3500 mm 316SS</t>
  </si>
  <si>
    <t>Eje tubular 2 1/2" 3500-5800 mm 304SS</t>
  </si>
  <si>
    <t>Eje tubular 2 1/2" 3500-5800 mm 316SS</t>
  </si>
  <si>
    <t>Eje tubular 3" 3500-5800 mm 304SS</t>
  </si>
  <si>
    <t>Eje tubular 4" 3500-5800 mm 304SS</t>
  </si>
  <si>
    <t>Eje tubular 4" 3500-5800 mm 316SS</t>
  </si>
  <si>
    <t>Eje tubular 6" 3500-5800 mm 304SS</t>
  </si>
  <si>
    <t>Eje tubular 6" 3500-5800 mm 316SS</t>
  </si>
  <si>
    <t>Eje tubular 8" 3500-5800 mm 304SS</t>
  </si>
  <si>
    <t>Eje tubular 8" 3500-5800 mm 316SS</t>
  </si>
  <si>
    <t>Eje tubular 5" 3500-5800 mm 304SS</t>
  </si>
  <si>
    <t>Eje tubular 3" 2700 mm 304SS</t>
  </si>
  <si>
    <t>Eje tubular 2" 3300 mm 304SS</t>
  </si>
  <si>
    <t>Eje tubular 6" 7400 mm A53</t>
  </si>
  <si>
    <t>Eje tubular 3" 3800 mm 304SS</t>
  </si>
  <si>
    <t>Eje tubular 3" 2400 mm 304SS</t>
  </si>
  <si>
    <t>Eje tubular 4" 2700 mm 304SS</t>
  </si>
  <si>
    <t>Eje tubular 3" 4200 mm 304SS</t>
  </si>
  <si>
    <t>Eje tubular 6" 4100 mm 316SS</t>
  </si>
  <si>
    <t>Eje tubular 2 1/2" 1800 mm 304SS</t>
  </si>
  <si>
    <t>Eje tubular 8" 3000 mm 304SS</t>
  </si>
  <si>
    <t>Eje tubular 2 1/2" 3700 mm 304SS</t>
  </si>
  <si>
    <t>Eje tubular 2 1/2" 5500 mm 304SS</t>
  </si>
  <si>
    <t>Eje tubular 4" 4200 mm 304SS</t>
  </si>
  <si>
    <t>Eje tubular 4" 1700 mm 316SS</t>
  </si>
  <si>
    <t>Eje tubular 4" 2200 mm 316SS</t>
  </si>
  <si>
    <t>Eje tubular 4" 3400 mm 316SS</t>
  </si>
  <si>
    <t>Eje tubular 4" 4300 mm 316SS</t>
  </si>
  <si>
    <t>Eje tubular 8" 3000 mm 316SS</t>
  </si>
  <si>
    <t>Eje tubular 8" 4400 mm 316SS</t>
  </si>
  <si>
    <t>Eje tubular 8" 8300 mm A36</t>
  </si>
  <si>
    <t>Eje tubular 4" 3700 mm 316SS</t>
  </si>
  <si>
    <t>PL-250-018-130</t>
  </si>
  <si>
    <t>Pletina cuadrada de 250 mm * 1/8" A36 GALVANIZADO</t>
  </si>
  <si>
    <t>PL-210-018-110</t>
  </si>
  <si>
    <t>Pletina cuadrada de 210 mm * 1/8" A36 GALVANIZADO</t>
  </si>
  <si>
    <t>PL-350-018-230</t>
  </si>
  <si>
    <t>Pletina cuadrada de 350 mm * 1/8" A36 GALVANIZADO</t>
  </si>
  <si>
    <t>PL-150-025-70</t>
  </si>
  <si>
    <t>Pletina cuadrada de 150 mm * 1/4" A36 GALVANIZADO</t>
  </si>
  <si>
    <t>PL-170-025-80</t>
  </si>
  <si>
    <t>Pletina cuadrada de 170 mm * 1/4" A36 GALVANIZADO</t>
  </si>
  <si>
    <t>PL-210-025-110</t>
  </si>
  <si>
    <t>Pletina cuadrada de 210 mm * 1/4" A36 GALVANIZADO</t>
  </si>
  <si>
    <t>PL-210-516-110</t>
  </si>
  <si>
    <t>Pletina cuadrada de 210 mm * 5/16" A36 GALVANIZADO</t>
  </si>
  <si>
    <t>PL-250-025-130</t>
  </si>
  <si>
    <t>Pletina cuadrada de 250 mm * 1/4" A36 GALVANIZADO</t>
  </si>
  <si>
    <t>PL-250-516-130</t>
  </si>
  <si>
    <t>Pletina cuadrada de 250 mm * 5/16" A36 GALVANIZADO</t>
  </si>
  <si>
    <t>Pletina cuadrada de 300 mm * 1/4" A36 GALVANIZADO</t>
  </si>
  <si>
    <t>PL-300-516-180</t>
  </si>
  <si>
    <t>PL-350-516-230</t>
  </si>
  <si>
    <t>Pletina cuadrada de 350 mm * 1/4" A36 GALVANIZADO</t>
  </si>
  <si>
    <t>PL-350-038-230</t>
  </si>
  <si>
    <t>Pletina cuadrada de 350 mm * 3/8" A36 GALVANIZADO</t>
  </si>
  <si>
    <t>PL-400-038-250</t>
  </si>
  <si>
    <t>Pletina cuadrada de 400 mm * 3/8" A36 GALVANIZADO</t>
  </si>
  <si>
    <t>Pletina cuadrada de 500 mm * 3/4" A36 GALVANIZADO</t>
  </si>
  <si>
    <t>PL-600-075-450</t>
  </si>
  <si>
    <t>Pletina cuadrada de 600 mm * 3/4" A36 GALVANIZADO</t>
  </si>
  <si>
    <t>PL-600-100-450</t>
  </si>
  <si>
    <t>Pletina cuadrada de 600 mm * 1" A36 GALVANIZADO</t>
  </si>
  <si>
    <t>PL-600-200-450</t>
  </si>
  <si>
    <t>Pletina cuadrada de 600 mm * 2" A36 GALVANIZADO</t>
  </si>
  <si>
    <t>PERNOS PARA AGITADOR PEQUEÑO (1 PROPELA EJES DE HASTA 2")</t>
  </si>
  <si>
    <t>PERNOS PARA AGITADOR MEDIANO (2 PROPELAS EJES DE HASTA 4")</t>
  </si>
  <si>
    <t>PERNOS PARA AGITADOR GRANDE (3 PROPELAS EJES HASTA 8")</t>
  </si>
  <si>
    <t>PLACAS DE IDENTIFICACIÓN Y SENTIDO DE GIRO</t>
  </si>
  <si>
    <t>AGITADORES ESTANDAR</t>
  </si>
  <si>
    <t xml:space="preserve">Ag. Tripala </t>
  </si>
  <si>
    <t>EJE_MACIZO</t>
  </si>
  <si>
    <t>ACOPLE_DIRECTO</t>
  </si>
  <si>
    <t>NO_APLICA</t>
  </si>
  <si>
    <t>AGITADORES_ESTANDAR</t>
  </si>
  <si>
    <t>EJE</t>
  </si>
  <si>
    <t>ACOPLE</t>
  </si>
  <si>
    <t>SCHEDULE</t>
  </si>
  <si>
    <t>LONGITUD</t>
  </si>
  <si>
    <t>DIÁMETRO NOMINAL</t>
  </si>
  <si>
    <t>B</t>
  </si>
  <si>
    <t>MACIZO</t>
  </si>
  <si>
    <t>A</t>
  </si>
  <si>
    <t>XXX</t>
  </si>
  <si>
    <t>(3/4")</t>
  </si>
  <si>
    <t>Acero A36</t>
  </si>
  <si>
    <t>R</t>
  </si>
  <si>
    <t>DIRECTO</t>
  </si>
  <si>
    <t>D</t>
  </si>
  <si>
    <t>SCH 10</t>
  </si>
  <si>
    <t>cm</t>
  </si>
  <si>
    <t>(1")</t>
  </si>
  <si>
    <t>S</t>
  </si>
  <si>
    <t>C</t>
  </si>
  <si>
    <t>(1.1/4")</t>
  </si>
  <si>
    <t>Acero 304SS</t>
  </si>
  <si>
    <t>SCH 80</t>
  </si>
  <si>
    <t>(1.1/2")</t>
  </si>
  <si>
    <t>(2")</t>
  </si>
  <si>
    <t>E</t>
  </si>
  <si>
    <t>(2.1/2")</t>
  </si>
  <si>
    <t>F</t>
  </si>
  <si>
    <t>(3")</t>
  </si>
  <si>
    <t>G</t>
  </si>
  <si>
    <t>(3.1/2")</t>
  </si>
  <si>
    <t>H</t>
  </si>
  <si>
    <t>EJES</t>
  </si>
  <si>
    <t>I</t>
  </si>
  <si>
    <t>(5")</t>
  </si>
  <si>
    <t>M</t>
  </si>
  <si>
    <t>(6")</t>
  </si>
  <si>
    <t>J</t>
  </si>
  <si>
    <t>(8")</t>
  </si>
  <si>
    <t>K</t>
  </si>
  <si>
    <t>(10")</t>
  </si>
  <si>
    <t>L</t>
  </si>
  <si>
    <t>AB</t>
  </si>
  <si>
    <t>2.5</t>
  </si>
  <si>
    <t>035</t>
  </si>
  <si>
    <t>Casillas Opcionales. Sólo serán tenidas en cuenta</t>
  </si>
  <si>
    <t>para una selección de material NO estándar.</t>
  </si>
  <si>
    <t>NOMINAL</t>
  </si>
  <si>
    <t>BRIDA</t>
  </si>
  <si>
    <t>Hasta tres cifras. En pulgadas.</t>
  </si>
  <si>
    <t>Tres cifras en mm</t>
  </si>
  <si>
    <t>P</t>
  </si>
  <si>
    <t>ACERO AL CARBON PAVONADO</t>
  </si>
  <si>
    <t>014</t>
  </si>
  <si>
    <t>018</t>
  </si>
  <si>
    <t>ACERO AL CARBON</t>
  </si>
  <si>
    <t>020</t>
  </si>
  <si>
    <t>Q</t>
  </si>
  <si>
    <t>RECUBRIMIENTO EN FIBRA DE VIDRIO</t>
  </si>
  <si>
    <t>025</t>
  </si>
  <si>
    <t>030</t>
  </si>
  <si>
    <t>040</t>
  </si>
  <si>
    <t>050</t>
  </si>
  <si>
    <t>060</t>
  </si>
  <si>
    <t>070</t>
  </si>
  <si>
    <t>080</t>
  </si>
  <si>
    <t>090</t>
  </si>
  <si>
    <t>Casilla opcional. Sólo será tenida en cuenta</t>
  </si>
  <si>
    <t>TIPO</t>
  </si>
  <si>
    <t>DIÁMETRO DE PROPELA</t>
  </si>
  <si>
    <t>DIÁMETRO NOMINAL EJE</t>
  </si>
  <si>
    <t>MONTAJE</t>
  </si>
  <si>
    <t>HIPERBOLICA</t>
  </si>
  <si>
    <t>MANZANA</t>
  </si>
  <si>
    <t>A36</t>
  </si>
  <si>
    <t>TURBINA</t>
  </si>
  <si>
    <t>S6</t>
  </si>
  <si>
    <t>SOLDADA</t>
  </si>
  <si>
    <t>Acero inoxidable 304SS</t>
  </si>
  <si>
    <t>GRAN CAUDAL - GC</t>
  </si>
  <si>
    <t>BIPALA - CB</t>
  </si>
  <si>
    <t>CURVA TRIPALA ESQUALIZABLE - CTE</t>
  </si>
  <si>
    <t>TURBINA TRIPALA - TT</t>
  </si>
  <si>
    <t>CURVA TRIPALA COMBINADA - CTT</t>
  </si>
  <si>
    <t>COWLES - CW</t>
  </si>
  <si>
    <t>GRAN CAUDAL ESCUALIZABLE - GCE</t>
  </si>
  <si>
    <t>X</t>
  </si>
  <si>
    <t>T</t>
  </si>
  <si>
    <t>N</t>
  </si>
  <si>
    <t>O</t>
  </si>
  <si>
    <t>U</t>
  </si>
  <si>
    <t>W</t>
  </si>
  <si>
    <t>V</t>
  </si>
  <si>
    <t>Z</t>
  </si>
  <si>
    <t>-P</t>
  </si>
  <si>
    <t>-S</t>
  </si>
  <si>
    <t>-R</t>
  </si>
  <si>
    <t>032</t>
  </si>
  <si>
    <t>-Q</t>
  </si>
  <si>
    <t>038</t>
  </si>
  <si>
    <t>TIPO DE PROPELA</t>
  </si>
  <si>
    <t>N DE PROPELAS</t>
  </si>
  <si>
    <t>LONGITUD EJE</t>
  </si>
  <si>
    <t>POTENCIA (kW)</t>
  </si>
  <si>
    <t>VELOCIDAD</t>
  </si>
  <si>
    <t>TIPO DE AGITADOR</t>
  </si>
  <si>
    <t>SELLO MECANICO</t>
  </si>
  <si>
    <t>HELICE MARINA</t>
  </si>
  <si>
    <t>160 mm</t>
  </si>
  <si>
    <t>XX en DECIMETROS</t>
  </si>
  <si>
    <t>xxx</t>
  </si>
  <si>
    <t>RPM</t>
  </si>
  <si>
    <t>VELOCIDAD DIRECTA</t>
  </si>
  <si>
    <t>MOTOR NEUMATICO</t>
  </si>
  <si>
    <t>Con linterna</t>
  </si>
  <si>
    <t>Con sello</t>
  </si>
  <si>
    <t>HORIZONTAL</t>
  </si>
  <si>
    <t>MOTOR ELECTRICO A PRUEBA DE EXPLOSIÓN</t>
  </si>
  <si>
    <t>110V (REVISAR)</t>
  </si>
  <si>
    <t>PINTURA EPOXICA</t>
  </si>
  <si>
    <t>CURVA TRIPALA ESQUALIZABLE - CE</t>
  </si>
  <si>
    <t>ESQUALIZABLE - CE</t>
  </si>
  <si>
    <t>904 L</t>
  </si>
  <si>
    <t>ACERO 316L SCH10</t>
  </si>
  <si>
    <t>ITC POLIPROPILENO</t>
  </si>
  <si>
    <t>FIBRA DE VIDRIO</t>
  </si>
  <si>
    <t>INVERT DUTY</t>
  </si>
  <si>
    <t>904L</t>
  </si>
  <si>
    <t>POLIPROPILENO</t>
  </si>
  <si>
    <t>Y</t>
  </si>
  <si>
    <t>304SS</t>
  </si>
  <si>
    <t>POLIETILENO</t>
  </si>
  <si>
    <t>WASH DOWN</t>
  </si>
  <si>
    <t>ACABADO ESPEJO</t>
  </si>
  <si>
    <t>AGITADORES TIPO TURBINA</t>
  </si>
  <si>
    <t>DESCRIPCION DEL EQUIPO</t>
  </si>
  <si>
    <t>AGITADOR</t>
  </si>
  <si>
    <t>MOTOR</t>
  </si>
  <si>
    <t>MODELO</t>
  </si>
  <si>
    <t>Diam prop (mm)</t>
  </si>
  <si>
    <t>Long Max</t>
  </si>
  <si>
    <t>Peso aprox (kg)</t>
  </si>
  <si>
    <t>DIMENSIONES EMBALAJE (mm)</t>
  </si>
  <si>
    <t>Agitador Vertical, Propela Tipo  Turbina de 200 mm de Diámetro, Longitud Maxima de Eje:  640 mm, Potencia del Motoreductor: 0,25 kW</t>
  </si>
  <si>
    <t>700*350*300</t>
  </si>
  <si>
    <t>Agitador Vertical, Propela Tipo  Turbina de 350 mm de Diámetro, Longitud Maxima de Eje:  900 mm, Potencia del Motoreductor: 0,25 kW</t>
  </si>
  <si>
    <t>1000*450*400</t>
  </si>
  <si>
    <t>Agitador Vertical, Propela Tipo  Turbina de 350 mm de Diámetro, Longitud Maxima de Eje:  1090 mm, Potencia del Motoreductor: 0,55 kW</t>
  </si>
  <si>
    <t>1200*450*400</t>
  </si>
  <si>
    <t>Agitador Vertical, Propela Tipo  Turbina de 550 mm de Diámetro, Longitud Maxima de Eje:  1450 mm, Potencia del Motoreductor: 0,55 kW</t>
  </si>
  <si>
    <t>1600*600*500</t>
  </si>
  <si>
    <t>Agitador Vertical, Propela Tipo  Turbina de 700 mm de Diámetro, Longitud Maxima de Eje:  1600 mm, Potencia del Motoreductor: 1,1 kW</t>
  </si>
  <si>
    <t>1700*600*500</t>
  </si>
  <si>
    <t>Agitador Vertical, Propela Tipo  Turbina de 700 mm de Diámetro, Longitud Maxima de Eje:  1800 mm, Potencia del Motoreductor: 1,5 kW</t>
  </si>
  <si>
    <t>1900*600*500</t>
  </si>
  <si>
    <t>Agitador Vertical, Propela Tipo  Turbina de 800 mm de Diámetro, Longitud Maxima de Eje:  2000 mm, Potencia del Motoreductor: 0,37 kW</t>
  </si>
  <si>
    <t>2105*700*600</t>
  </si>
  <si>
    <t>Agitador Vertical, Propela Tipo  Turbina de 800 mm de Diámetro, Longitud Maxima de Eje:  2100 mm, Potencia del Motoreductor: 1,1 kW</t>
  </si>
  <si>
    <t>2200*700*600</t>
  </si>
  <si>
    <t>Agitador Vertical, Propela Tipo  Turbina de 700 mm de Diámetro, Longitud Maxima de Eje:  2400 mm, Potencia del Motoreductor: 3 kW</t>
  </si>
  <si>
    <t>2500*700*600</t>
  </si>
  <si>
    <t>Agitador Vertical, Propela Tipo  Turbina de 800 mm de Diámetro, Longitud Maxima de Eje:  2460 mm, Potencia del Motoreductor: 3 kW</t>
  </si>
  <si>
    <t>2550*700*600</t>
  </si>
  <si>
    <t>Agitador Vertical, Propela Tipo  Turbina de 800 mm de Diámetro, Longitud Maxima de Eje:  2660 mm, Potencia del Motoreductor: 5,5 kW</t>
  </si>
  <si>
    <t>2710*700*600</t>
  </si>
  <si>
    <t>AGITADORES TIPO GRAN CAUDAL</t>
  </si>
  <si>
    <t>DIAMETRO PROPELA (mm)</t>
  </si>
  <si>
    <t>LONG MAX EJE (mm)</t>
  </si>
  <si>
    <t>PESO APROXIMADO (kg)</t>
  </si>
  <si>
    <t>Agitador Vertical, Propela Tipo Gran Caudal de 400 mm de Diámetro, Longitud Maxima de Eje:  900 mm, Potencia del Motoreductor: 0,37 kW</t>
  </si>
  <si>
    <t>1000*500*450</t>
  </si>
  <si>
    <t>V4AH-15E074</t>
  </si>
  <si>
    <t>Agitador Vertical, Propela Tipo Gran Caudal de 600 mm de Diámetro, Longitud Maxima de Eje:  1520 mm, Potencia del Motoreductor: 1,1 kW</t>
  </si>
  <si>
    <t>Agitador Vertical, Propela Tipo Gran Caudal de 800 mm de Diámetro, Longitud Maxima de Eje:  2160 mm, Potencia del Motoreductor: 1,1 kW</t>
  </si>
  <si>
    <t>Agitador Vertical, Propela Tipo Gran Caudal de 1000 mm de Diámetro, Longitud Maxima de Eje:  2700 mm, Potencia del Motoreductor: 2,2 kW</t>
  </si>
  <si>
    <t>2900*800*700</t>
  </si>
  <si>
    <t>V4AL-27AH043</t>
  </si>
  <si>
    <t>Agitador Vertical, Propela Tipo Gran Caudal de 1200 mm de Diámetro, Longitud Maxima de Eje:  2700 mm, Potencia del Motoreductor: 3 kW</t>
  </si>
  <si>
    <t>V4AV-27AH033</t>
  </si>
  <si>
    <t>Agitador Vertical, Propela Tipo Gran Caudal de 1400 mm de Diámetro, Longitud Maxima de Eje:  2700 mm, Potencia del Motoreductor: 3 kW</t>
  </si>
  <si>
    <t>AGITADORES TIPO CURVA TRIPALA</t>
  </si>
  <si>
    <t>Agitador Vertical, Propela Tipo Curva Tripala de 200 mm de Diámetro, Longitud Maxima de Eje:  590 mm, Potencia del Motoreductor: 0,37 kW</t>
  </si>
  <si>
    <t>650*350*350</t>
  </si>
  <si>
    <t>Agitador Vertical, Propela Tipo Curva Tripala de 300 mm de Diámetro, Longitud Maxima de Eje:  860 mm, Potencia del Motoreductor: 0,25 kW</t>
  </si>
  <si>
    <t>900*400*400</t>
  </si>
  <si>
    <t>Agitador Vertical, Propela Tipo Curva Tripala de 400 mm de Diámetro, Longitud Maxima de Eje:  1080 mm, Potencia del Motoreductor: 0,37 kW</t>
  </si>
  <si>
    <t>1150*500*400</t>
  </si>
  <si>
    <t>Agitador Vertical, Propela Tipo Curva Tripala de 500 mm de Diámetro, Longitud Maxima de Eje:  1350 mm, Potencia del Motoreductor: 0,75 kW</t>
  </si>
  <si>
    <t>1400*500*400</t>
  </si>
  <si>
    <t>Agitador Vertical, Propela Tipo Curva Tripala de 600 mm de Diámetro, Longitud Maxima de Eje:  1620 mm, Potencia del Motoreductor: 2,2 kW</t>
  </si>
  <si>
    <t>Agitador Vertical, Propela Tipo Curva Tripala de 700 mm de Diámetro, Longitud Maxima de Eje:  1840 mm, Potencia del Motoreductor: 1,5 kW</t>
  </si>
  <si>
    <t>1900*700*600</t>
  </si>
  <si>
    <t>Agitador Vertical, Propela Tipo Curva Tripala de 800 mm de Diámetro, Longitud Maxima de Eje:  2060 mm, Potencia del Motoreductor: 1,5 kW</t>
  </si>
  <si>
    <t>Agitador Vertical, Propela Tipo Curva Tripala de 1000 mm de Diámetro, Longitud Maxima de Eje:  2600 mm, Potencia del Motoreductor: 2,2 kW</t>
  </si>
  <si>
    <t>2700*900*750</t>
  </si>
  <si>
    <t>V3AK-26H095</t>
  </si>
  <si>
    <t>Agitador Vertical, Propela Tipo Curva Tripala de 1200 mm de Diámetro, Longitud Maxima de Eje:  2640 mm, Potencia del Motoreductor: 3 kW</t>
  </si>
  <si>
    <t>2750*1100*850</t>
  </si>
  <si>
    <t>MARGEN</t>
  </si>
  <si>
    <t>usd</t>
  </si>
  <si>
    <t>COP</t>
  </si>
  <si>
    <t>USD</t>
  </si>
  <si>
    <t>INCREMENTO</t>
  </si>
  <si>
    <t>ACOMPAÑAMIENTO EN ARRANQUE Y PRUEBAS</t>
  </si>
  <si>
    <t xml:space="preserve">RECUBRIMIENTO </t>
  </si>
  <si>
    <t>PROPELA P5-SGC</t>
  </si>
  <si>
    <t xml:space="preserve">LÁMINAS </t>
  </si>
  <si>
    <t>Descripción</t>
  </si>
  <si>
    <t>Cantidad</t>
  </si>
  <si>
    <t>Material</t>
  </si>
  <si>
    <t>Peso kg</t>
  </si>
  <si>
    <t>Área m2</t>
  </si>
  <si>
    <t>Ruana</t>
  </si>
  <si>
    <t>Casquete plano</t>
  </si>
  <si>
    <t>Casquete curvo</t>
  </si>
  <si>
    <t>Atiezador</t>
  </si>
  <si>
    <t>Aspa</t>
  </si>
  <si>
    <t>304ss</t>
  </si>
  <si>
    <t>Área total</t>
  </si>
  <si>
    <t>Área total m2</t>
  </si>
  <si>
    <t>Peso total kg</t>
  </si>
  <si>
    <t>Costo por kg</t>
  </si>
  <si>
    <t>Costo total COP</t>
  </si>
  <si>
    <t xml:space="preserve">SERVICIO </t>
  </si>
  <si>
    <t>COSTO PROPELA</t>
  </si>
  <si>
    <t xml:space="preserve">Subtotal materiales </t>
  </si>
  <si>
    <t xml:space="preserve">Gastos administrativos </t>
  </si>
  <si>
    <t xml:space="preserve">Gastos financieros </t>
  </si>
  <si>
    <t>Subtotal</t>
  </si>
  <si>
    <t xml:space="preserve">Margen </t>
  </si>
  <si>
    <t>Valor de venta COP</t>
  </si>
  <si>
    <t>Valor de venta USD</t>
  </si>
  <si>
    <t>Total COP</t>
  </si>
  <si>
    <t>Total USD</t>
  </si>
  <si>
    <t>T.PAGO/MESES</t>
  </si>
  <si>
    <t xml:space="preserve">  </t>
  </si>
  <si>
    <t>LITERNA DE RODAMIENTOS</t>
  </si>
  <si>
    <t>MOTORREDUTOR 2.2 KW // 90 RPM//SK5721IEC100C20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</si>
</sst>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[$$-409]* #,##0.00_ ;_-[$$-409]* \-#,##0.00\ ;_-[$$-409]* \-??_ ;_-@_ "/>
    <numFmt numFmtId="165" formatCode="_-\$* #,##0_-;&quot;-$&quot;* #,##0_-;_-\$* \-_-;_-@_-"/>
    <numFmt numFmtId="166" formatCode="_([$$-240A]\ * #,##0_);_([$$-240A]\ * \(#,##0\);_([$$-240A]\ * \-??_);_(@_)"/>
    <numFmt numFmtId="167" formatCode="_-[$USD]\ * #,##0_-;\-[$USD]\ * #,##0_-;_-[$USD]\ * \-_-;_-@_-"/>
    <numFmt numFmtId="168" formatCode="0.0"/>
    <numFmt numFmtId="169" formatCode="0.0000"/>
    <numFmt numFmtId="170" formatCode="0.000"/>
  </numFmts>
  <fonts count="21" x14ac:knownFonts="1">
    <font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1"/>
      <color rgb="FFFF0000"/>
      <name val="Calibri"/>
      <family val="2"/>
      <charset val="1"/>
    </font>
    <font>
      <sz val="11"/>
      <color rgb="FFFA7D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EEBF7"/>
        <bgColor rgb="FFDBEEF4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AFABAB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DEEBF7"/>
      </patternFill>
    </fill>
    <fill>
      <patternFill patternType="solid">
        <fgColor rgb="FFA6A6A6"/>
        <bgColor rgb="FFAFABAB"/>
      </patternFill>
    </fill>
    <fill>
      <patternFill patternType="solid">
        <fgColor rgb="FFDBEEF4"/>
        <bgColor rgb="FFDEEBF7"/>
      </patternFill>
    </fill>
    <fill>
      <patternFill patternType="solid">
        <fgColor rgb="FFC5E0B4"/>
        <bgColor rgb="FFDAE3F3"/>
      </patternFill>
    </fill>
    <fill>
      <patternFill patternType="solid">
        <fgColor rgb="FFFFC000"/>
        <bgColor rgb="FFF4B183"/>
      </patternFill>
    </fill>
    <fill>
      <patternFill patternType="solid">
        <fgColor rgb="FFED7D31"/>
        <bgColor rgb="FFFA7D00"/>
      </patternFill>
    </fill>
    <fill>
      <patternFill patternType="solid">
        <fgColor rgb="FFAFABAB"/>
        <bgColor rgb="FFA6A6A6"/>
      </patternFill>
    </fill>
    <fill>
      <patternFill patternType="solid">
        <fgColor rgb="FFF4B183"/>
        <bgColor rgb="FFFF99CC"/>
      </patternFill>
    </fill>
    <fill>
      <patternFill patternType="solid">
        <fgColor theme="0"/>
        <bgColor rgb="FFFFFF00"/>
      </patternFill>
    </fill>
  </fills>
  <borders count="4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7" fillId="0" borderId="0" applyBorder="0" applyProtection="0"/>
    <xf numFmtId="0" fontId="11" fillId="0" borderId="1" applyProtection="0"/>
    <xf numFmtId="44" fontId="17" fillId="0" borderId="0" applyFont="0" applyFill="0" applyBorder="0" applyAlignment="0" applyProtection="0"/>
  </cellStyleXfs>
  <cellXfs count="298"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6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15" xfId="0" applyFill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/>
    <xf numFmtId="0" fontId="3" fillId="3" borderId="0" xfId="0" applyFont="1" applyFill="1" applyAlignment="1">
      <alignment horizontal="right"/>
    </xf>
    <xf numFmtId="164" fontId="3" fillId="3" borderId="0" xfId="0" applyNumberFormat="1" applyFont="1" applyFill="1"/>
    <xf numFmtId="0" fontId="3" fillId="7" borderId="2" xfId="0" applyFont="1" applyFill="1" applyBorder="1" applyAlignment="1">
      <alignment horizontal="center" vertical="center"/>
    </xf>
    <xf numFmtId="0" fontId="0" fillId="3" borderId="17" xfId="0" applyFill="1" applyBorder="1"/>
    <xf numFmtId="0" fontId="3" fillId="7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3" borderId="19" xfId="0" applyFill="1" applyBorder="1"/>
    <xf numFmtId="0" fontId="17" fillId="0" borderId="19" xfId="2" applyFont="1" applyBorder="1"/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165" fontId="4" fillId="3" borderId="19" xfId="0" applyNumberFormat="1" applyFont="1" applyFill="1" applyBorder="1" applyAlignment="1">
      <alignment horizontal="center"/>
    </xf>
    <xf numFmtId="0" fontId="0" fillId="3" borderId="20" xfId="0" applyFill="1" applyBorder="1"/>
    <xf numFmtId="0" fontId="4" fillId="3" borderId="23" xfId="0" applyFont="1" applyFill="1" applyBorder="1" applyAlignment="1">
      <alignment horizontal="center"/>
    </xf>
    <xf numFmtId="165" fontId="4" fillId="3" borderId="20" xfId="0" applyNumberFormat="1" applyFont="1" applyFill="1" applyBorder="1" applyAlignment="1">
      <alignment horizontal="center"/>
    </xf>
    <xf numFmtId="165" fontId="0" fillId="3" borderId="0" xfId="0" applyNumberFormat="1" applyFill="1"/>
    <xf numFmtId="0" fontId="0" fillId="3" borderId="0" xfId="0" applyFill="1" applyAlignment="1">
      <alignment vertical="center"/>
    </xf>
    <xf numFmtId="166" fontId="0" fillId="3" borderId="17" xfId="0" applyNumberFormat="1" applyFill="1" applyBorder="1"/>
    <xf numFmtId="166" fontId="0" fillId="3" borderId="0" xfId="0" applyNumberFormat="1" applyFill="1"/>
    <xf numFmtId="0" fontId="3" fillId="3" borderId="5" xfId="0" applyFont="1" applyFill="1" applyBorder="1"/>
    <xf numFmtId="165" fontId="3" fillId="3" borderId="6" xfId="2" applyNumberFormat="1" applyFont="1" applyFill="1" applyBorder="1" applyProtection="1"/>
    <xf numFmtId="166" fontId="0" fillId="5" borderId="20" xfId="0" applyNumberFormat="1" applyFill="1" applyBorder="1"/>
    <xf numFmtId="0" fontId="0" fillId="5" borderId="20" xfId="0" applyFill="1" applyBorder="1"/>
    <xf numFmtId="0" fontId="4" fillId="3" borderId="0" xfId="0" applyFont="1" applyFill="1" applyAlignment="1">
      <alignment horizontal="right" vertical="center"/>
    </xf>
    <xf numFmtId="166" fontId="4" fillId="3" borderId="0" xfId="0" applyNumberFormat="1" applyFont="1" applyFill="1"/>
    <xf numFmtId="10" fontId="0" fillId="3" borderId="0" xfId="0" applyNumberFormat="1" applyFill="1"/>
    <xf numFmtId="0" fontId="4" fillId="0" borderId="0" xfId="0" applyFont="1" applyAlignment="1">
      <alignment horizontal="right" vertical="center"/>
    </xf>
    <xf numFmtId="167" fontId="7" fillId="3" borderId="0" xfId="0" applyNumberFormat="1" applyFont="1" applyFill="1"/>
    <xf numFmtId="0" fontId="0" fillId="3" borderId="31" xfId="0" applyFill="1" applyBorder="1"/>
    <xf numFmtId="0" fontId="0" fillId="0" borderId="31" xfId="0" applyBorder="1"/>
    <xf numFmtId="0" fontId="0" fillId="3" borderId="32" xfId="0" applyFill="1" applyBorder="1"/>
    <xf numFmtId="0" fontId="0" fillId="3" borderId="33" xfId="0" applyFill="1" applyBorder="1"/>
    <xf numFmtId="9" fontId="4" fillId="10" borderId="2" xfId="1" applyFont="1" applyFill="1" applyBorder="1" applyAlignment="1" applyProtection="1">
      <alignment horizontal="right"/>
    </xf>
    <xf numFmtId="9" fontId="4" fillId="10" borderId="2" xfId="1" applyFont="1" applyFill="1" applyBorder="1" applyProtection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5" fontId="0" fillId="3" borderId="12" xfId="2" applyNumberFormat="1" applyFont="1" applyFill="1" applyBorder="1" applyAlignment="1" applyProtection="1">
      <alignment horizontal="center"/>
    </xf>
    <xf numFmtId="1" fontId="0" fillId="4" borderId="29" xfId="2" applyNumberFormat="1" applyFont="1" applyFill="1" applyBorder="1" applyAlignment="1" applyProtection="1">
      <alignment horizontal="right"/>
    </xf>
    <xf numFmtId="0" fontId="0" fillId="0" borderId="11" xfId="0" applyBorder="1" applyAlignment="1">
      <alignment horizontal="center"/>
    </xf>
    <xf numFmtId="165" fontId="0" fillId="0" borderId="12" xfId="2" applyNumberFormat="1" applyFont="1" applyBorder="1" applyProtection="1"/>
    <xf numFmtId="168" fontId="0" fillId="4" borderId="30" xfId="2" applyNumberFormat="1" applyFont="1" applyFill="1" applyBorder="1" applyProtection="1"/>
    <xf numFmtId="165" fontId="0" fillId="4" borderId="30" xfId="2" applyNumberFormat="1" applyFont="1" applyFill="1" applyBorder="1" applyProtection="1"/>
    <xf numFmtId="1" fontId="0" fillId="4" borderId="30" xfId="2" applyNumberFormat="1" applyFont="1" applyFill="1" applyBorder="1" applyProtection="1"/>
    <xf numFmtId="0" fontId="4" fillId="0" borderId="13" xfId="0" applyFont="1" applyBorder="1" applyAlignment="1">
      <alignment horizontal="right"/>
    </xf>
    <xf numFmtId="165" fontId="4" fillId="0" borderId="4" xfId="0" applyNumberFormat="1" applyFont="1" applyBorder="1"/>
    <xf numFmtId="168" fontId="4" fillId="4" borderId="3" xfId="0" applyNumberFormat="1" applyFont="1" applyFill="1" applyBorder="1"/>
    <xf numFmtId="0" fontId="4" fillId="3" borderId="0" xfId="0" applyFont="1" applyFill="1" applyAlignment="1">
      <alignment horizontal="center"/>
    </xf>
    <xf numFmtId="165" fontId="0" fillId="3" borderId="0" xfId="2" applyNumberFormat="1" applyFont="1" applyFill="1" applyBorder="1" applyAlignment="1" applyProtection="1">
      <alignment horizontal="center"/>
    </xf>
    <xf numFmtId="1" fontId="0" fillId="3" borderId="0" xfId="2" applyNumberFormat="1" applyFont="1" applyFill="1" applyBorder="1" applyAlignment="1" applyProtection="1">
      <alignment horizontal="right"/>
    </xf>
    <xf numFmtId="165" fontId="0" fillId="3" borderId="0" xfId="2" applyNumberFormat="1" applyFont="1" applyFill="1" applyBorder="1" applyProtection="1"/>
    <xf numFmtId="168" fontId="0" fillId="3" borderId="0" xfId="2" applyNumberFormat="1" applyFont="1" applyFill="1" applyBorder="1" applyProtection="1"/>
    <xf numFmtId="1" fontId="0" fillId="3" borderId="0" xfId="2" applyNumberFormat="1" applyFont="1" applyFill="1" applyBorder="1" applyProtection="1"/>
    <xf numFmtId="0" fontId="4" fillId="3" borderId="0" xfId="0" applyFont="1" applyFill="1" applyAlignment="1">
      <alignment horizontal="right"/>
    </xf>
    <xf numFmtId="165" fontId="4" fillId="3" borderId="0" xfId="0" applyNumberFormat="1" applyFont="1" applyFill="1"/>
    <xf numFmtId="168" fontId="4" fillId="3" borderId="0" xfId="0" applyNumberFormat="1" applyFont="1" applyFill="1"/>
    <xf numFmtId="0" fontId="0" fillId="0" borderId="11" xfId="0" applyBorder="1" applyAlignment="1">
      <alignment horizontal="left"/>
    </xf>
    <xf numFmtId="2" fontId="17" fillId="0" borderId="12" xfId="2" applyNumberFormat="1" applyFont="1" applyBorder="1" applyProtection="1"/>
    <xf numFmtId="165" fontId="17" fillId="0" borderId="12" xfId="2" applyNumberFormat="1" applyFont="1" applyBorder="1" applyProtection="1"/>
    <xf numFmtId="168" fontId="0" fillId="0" borderId="30" xfId="2" applyNumberFormat="1" applyFont="1" applyBorder="1" applyProtection="1"/>
    <xf numFmtId="0" fontId="0" fillId="0" borderId="12" xfId="2" applyFont="1" applyBorder="1" applyProtection="1"/>
    <xf numFmtId="165" fontId="0" fillId="0" borderId="30" xfId="2" applyNumberFormat="1" applyFont="1" applyBorder="1" applyProtection="1"/>
    <xf numFmtId="168" fontId="4" fillId="4" borderId="3" xfId="2" applyNumberFormat="1" applyFont="1" applyFill="1" applyBorder="1" applyProtection="1"/>
    <xf numFmtId="165" fontId="0" fillId="0" borderId="0" xfId="0" applyNumberFormat="1"/>
    <xf numFmtId="168" fontId="0" fillId="0" borderId="29" xfId="2" applyNumberFormat="1" applyFont="1" applyBorder="1" applyProtection="1"/>
    <xf numFmtId="0" fontId="0" fillId="3" borderId="12" xfId="2" applyFont="1" applyFill="1" applyBorder="1" applyAlignment="1" applyProtection="1">
      <alignment horizontal="right"/>
    </xf>
    <xf numFmtId="0" fontId="0" fillId="0" borderId="12" xfId="2" applyFont="1" applyBorder="1" applyAlignment="1" applyProtection="1">
      <alignment horizontal="right"/>
    </xf>
    <xf numFmtId="0" fontId="0" fillId="0" borderId="30" xfId="0" applyBorder="1"/>
    <xf numFmtId="168" fontId="0" fillId="0" borderId="30" xfId="0" applyNumberFormat="1" applyBorder="1"/>
    <xf numFmtId="0" fontId="0" fillId="0" borderId="29" xfId="2" applyFont="1" applyBorder="1" applyProtection="1"/>
    <xf numFmtId="0" fontId="0" fillId="0" borderId="30" xfId="2" applyFont="1" applyBorder="1" applyProtection="1"/>
    <xf numFmtId="0" fontId="4" fillId="0" borderId="3" xfId="2" applyFont="1" applyBorder="1" applyProtection="1"/>
    <xf numFmtId="0" fontId="0" fillId="0" borderId="0" xfId="0" applyAlignment="1">
      <alignment horizontal="center"/>
    </xf>
    <xf numFmtId="0" fontId="0" fillId="0" borderId="11" xfId="0" applyBorder="1" applyAlignment="1">
      <alignment horizontal="left" wrapText="1"/>
    </xf>
    <xf numFmtId="165" fontId="0" fillId="0" borderId="30" xfId="0" applyNumberFormat="1" applyBorder="1"/>
    <xf numFmtId="0" fontId="4" fillId="0" borderId="4" xfId="0" applyFont="1" applyBorder="1"/>
    <xf numFmtId="0" fontId="4" fillId="4" borderId="3" xfId="0" applyFont="1" applyFill="1" applyBorder="1" applyAlignment="1">
      <alignment horizontal="center"/>
    </xf>
    <xf numFmtId="0" fontId="4" fillId="0" borderId="0" xfId="0" applyFont="1"/>
    <xf numFmtId="0" fontId="17" fillId="3" borderId="12" xfId="2" applyFont="1" applyFill="1" applyBorder="1" applyAlignment="1" applyProtection="1">
      <alignment horizontal="right"/>
    </xf>
    <xf numFmtId="0" fontId="0" fillId="5" borderId="0" xfId="0" applyFill="1"/>
    <xf numFmtId="165" fontId="0" fillId="0" borderId="0" xfId="2" applyNumberFormat="1" applyFont="1" applyBorder="1" applyProtection="1"/>
    <xf numFmtId="14" fontId="0" fillId="0" borderId="0" xfId="0" applyNumberFormat="1"/>
    <xf numFmtId="168" fontId="0" fillId="0" borderId="0" xfId="0" applyNumberFormat="1"/>
    <xf numFmtId="14" fontId="0" fillId="0" borderId="0" xfId="0" applyNumberFormat="1" applyAlignment="1">
      <alignment horizontal="center"/>
    </xf>
    <xf numFmtId="165" fontId="17" fillId="3" borderId="0" xfId="2" applyNumberFormat="1" applyFont="1" applyFill="1" applyBorder="1" applyProtection="1"/>
    <xf numFmtId="0" fontId="0" fillId="3" borderId="0" xfId="0" applyFill="1" applyAlignment="1">
      <alignment horizontal="right"/>
    </xf>
    <xf numFmtId="168" fontId="0" fillId="3" borderId="0" xfId="0" applyNumberFormat="1" applyFill="1"/>
    <xf numFmtId="165" fontId="10" fillId="0" borderId="0" xfId="2" applyNumberFormat="1" applyFont="1" applyBorder="1" applyProtection="1"/>
    <xf numFmtId="165" fontId="17" fillId="0" borderId="0" xfId="2" applyNumberFormat="1" applyFont="1" applyBorder="1" applyProtection="1"/>
    <xf numFmtId="14" fontId="0" fillId="3" borderId="0" xfId="0" applyNumberFormat="1" applyFill="1"/>
    <xf numFmtId="165" fontId="0" fillId="5" borderId="0" xfId="0" applyNumberFormat="1" applyFill="1"/>
    <xf numFmtId="14" fontId="0" fillId="0" borderId="0" xfId="0" applyNumberFormat="1" applyAlignment="1">
      <alignment horizontal="right"/>
    </xf>
    <xf numFmtId="12" fontId="0" fillId="0" borderId="0" xfId="0" applyNumberFormat="1"/>
    <xf numFmtId="165" fontId="0" fillId="11" borderId="0" xfId="2" applyNumberFormat="1" applyFont="1" applyFill="1" applyBorder="1" applyProtection="1"/>
    <xf numFmtId="1" fontId="0" fillId="0" borderId="0" xfId="0" applyNumberFormat="1"/>
    <xf numFmtId="0" fontId="0" fillId="0" borderId="0" xfId="0" applyAlignment="1">
      <alignment horizontal="left"/>
    </xf>
    <xf numFmtId="0" fontId="11" fillId="3" borderId="1" xfId="2" applyFill="1" applyProtection="1"/>
    <xf numFmtId="0" fontId="0" fillId="4" borderId="0" xfId="0" applyFill="1"/>
    <xf numFmtId="0" fontId="12" fillId="3" borderId="0" xfId="0" applyFont="1" applyFill="1"/>
    <xf numFmtId="0" fontId="0" fillId="0" borderId="0" xfId="0" applyAlignment="1">
      <alignment horizontal="right"/>
    </xf>
    <xf numFmtId="165" fontId="17" fillId="0" borderId="0" xfId="2" applyNumberFormat="1" applyFont="1" applyBorder="1" applyAlignment="1" applyProtection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65" fontId="17" fillId="4" borderId="0" xfId="2" applyNumberFormat="1" applyFont="1" applyFill="1" applyBorder="1" applyProtection="1"/>
    <xf numFmtId="0" fontId="7" fillId="4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20" xfId="0" applyFont="1" applyFill="1" applyBorder="1"/>
    <xf numFmtId="0" fontId="13" fillId="4" borderId="20" xfId="0" applyFont="1" applyFill="1" applyBorder="1" applyAlignment="1">
      <alignment horizontal="center"/>
    </xf>
    <xf numFmtId="0" fontId="13" fillId="3" borderId="19" xfId="0" applyFont="1" applyFill="1" applyBorder="1"/>
    <xf numFmtId="0" fontId="13" fillId="3" borderId="19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left"/>
    </xf>
    <xf numFmtId="0" fontId="13" fillId="4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4" fillId="11" borderId="29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/>
    </xf>
    <xf numFmtId="0" fontId="0" fillId="7" borderId="29" xfId="0" applyFill="1" applyBorder="1"/>
    <xf numFmtId="0" fontId="0" fillId="7" borderId="30" xfId="0" applyFill="1" applyBorder="1"/>
    <xf numFmtId="0" fontId="3" fillId="7" borderId="30" xfId="0" applyFont="1" applyFill="1" applyBorder="1" applyAlignment="1">
      <alignment horizontal="center"/>
    </xf>
    <xf numFmtId="0" fontId="14" fillId="7" borderId="30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0" fillId="7" borderId="3" xfId="0" applyFill="1" applyBorder="1"/>
    <xf numFmtId="0" fontId="0" fillId="3" borderId="19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13" fillId="7" borderId="2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vertical="center"/>
    </xf>
    <xf numFmtId="0" fontId="7" fillId="4" borderId="19" xfId="0" applyFont="1" applyFill="1" applyBorder="1" applyAlignment="1">
      <alignment vertical="center"/>
    </xf>
    <xf numFmtId="0" fontId="7" fillId="4" borderId="19" xfId="0" applyFont="1" applyFill="1" applyBorder="1" applyAlignment="1">
      <alignment horizontal="right"/>
    </xf>
    <xf numFmtId="0" fontId="7" fillId="4" borderId="19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right"/>
    </xf>
    <xf numFmtId="0" fontId="13" fillId="3" borderId="20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20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0" fillId="0" borderId="20" xfId="0" applyBorder="1"/>
    <xf numFmtId="0" fontId="13" fillId="3" borderId="34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right"/>
    </xf>
    <xf numFmtId="0" fontId="13" fillId="12" borderId="19" xfId="0" applyFont="1" applyFill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7" borderId="19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7" borderId="35" xfId="0" applyFill="1" applyBorder="1"/>
    <xf numFmtId="0" fontId="13" fillId="7" borderId="19" xfId="0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3" fillId="7" borderId="19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vertical="center" wrapText="1"/>
    </xf>
    <xf numFmtId="0" fontId="13" fillId="12" borderId="20" xfId="0" applyFont="1" applyFill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0" fillId="0" borderId="21" xfId="0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3" fillId="7" borderId="20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 wrapText="1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 wrapText="1"/>
    </xf>
    <xf numFmtId="0" fontId="0" fillId="7" borderId="20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3" xfId="0" applyFill="1" applyBorder="1" applyAlignment="1">
      <alignment horizontal="center"/>
    </xf>
    <xf numFmtId="2" fontId="13" fillId="3" borderId="20" xfId="0" applyNumberFormat="1" applyFont="1" applyFill="1" applyBorder="1" applyAlignment="1">
      <alignment vertical="center"/>
    </xf>
    <xf numFmtId="0" fontId="13" fillId="13" borderId="20" xfId="0" applyFont="1" applyFill="1" applyBorder="1" applyAlignment="1">
      <alignment vertical="center"/>
    </xf>
    <xf numFmtId="0" fontId="13" fillId="3" borderId="34" xfId="0" applyFont="1" applyFill="1" applyBorder="1" applyAlignment="1">
      <alignment vertical="center"/>
    </xf>
    <xf numFmtId="0" fontId="0" fillId="7" borderId="34" xfId="0" applyFill="1" applyBorder="1" applyAlignment="1">
      <alignment horizontal="center"/>
    </xf>
    <xf numFmtId="2" fontId="13" fillId="3" borderId="34" xfId="0" applyNumberFormat="1" applyFont="1" applyFill="1" applyBorder="1" applyAlignment="1">
      <alignment vertical="center"/>
    </xf>
    <xf numFmtId="0" fontId="13" fillId="7" borderId="34" xfId="0" applyFont="1" applyFill="1" applyBorder="1" applyAlignment="1">
      <alignment horizontal="center" vertical="center"/>
    </xf>
    <xf numFmtId="9" fontId="17" fillId="0" borderId="0" xfId="1"/>
    <xf numFmtId="0" fontId="18" fillId="3" borderId="0" xfId="0" applyFont="1" applyFill="1"/>
    <xf numFmtId="1" fontId="0" fillId="3" borderId="0" xfId="0" applyNumberFormat="1" applyFill="1"/>
    <xf numFmtId="0" fontId="0" fillId="3" borderId="38" xfId="0" applyFill="1" applyBorder="1"/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165" fontId="4" fillId="3" borderId="38" xfId="0" applyNumberFormat="1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14" borderId="15" xfId="0" applyFill="1" applyBorder="1"/>
    <xf numFmtId="17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4" fontId="0" fillId="0" borderId="0" xfId="3" applyFont="1"/>
    <xf numFmtId="44" fontId="0" fillId="0" borderId="0" xfId="0" applyNumberFormat="1"/>
    <xf numFmtId="0" fontId="3" fillId="3" borderId="0" xfId="0" applyFont="1" applyFill="1"/>
    <xf numFmtId="165" fontId="3" fillId="3" borderId="0" xfId="2" applyNumberFormat="1" applyFont="1" applyFill="1" applyBorder="1" applyProtection="1"/>
    <xf numFmtId="166" fontId="0" fillId="5" borderId="0" xfId="0" applyNumberFormat="1" applyFill="1"/>
    <xf numFmtId="166" fontId="18" fillId="3" borderId="41" xfId="2" applyNumberFormat="1" applyFont="1" applyFill="1" applyBorder="1" applyAlignment="1">
      <alignment vertical="center"/>
    </xf>
    <xf numFmtId="0" fontId="18" fillId="2" borderId="25" xfId="0" applyFont="1" applyFill="1" applyBorder="1" applyAlignment="1">
      <alignment vertical="center"/>
    </xf>
    <xf numFmtId="0" fontId="19" fillId="2" borderId="20" xfId="0" applyFont="1" applyFill="1" applyBorder="1" applyAlignment="1">
      <alignment vertical="center"/>
    </xf>
    <xf numFmtId="10" fontId="18" fillId="9" borderId="20" xfId="0" applyNumberFormat="1" applyFont="1" applyFill="1" applyBorder="1" applyAlignment="1">
      <alignment horizontal="center" vertical="center"/>
    </xf>
    <xf numFmtId="166" fontId="20" fillId="3" borderId="26" xfId="2" applyNumberFormat="1" applyFont="1" applyFill="1" applyBorder="1" applyAlignment="1">
      <alignment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 vertical="center"/>
    </xf>
    <xf numFmtId="166" fontId="18" fillId="8" borderId="26" xfId="2" applyNumberFormat="1" applyFont="1" applyFill="1" applyBorder="1" applyAlignment="1">
      <alignment vertical="center"/>
    </xf>
    <xf numFmtId="9" fontId="18" fillId="9" borderId="24" xfId="1" applyFont="1" applyFill="1" applyBorder="1" applyAlignment="1" applyProtection="1">
      <alignment horizontal="center" vertical="center"/>
    </xf>
    <xf numFmtId="166" fontId="18" fillId="0" borderId="28" xfId="2" applyNumberFormat="1" applyFont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14" fontId="3" fillId="7" borderId="2" xfId="0" applyNumberFormat="1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165" fontId="4" fillId="3" borderId="22" xfId="2" applyNumberFormat="1" applyFont="1" applyFill="1" applyBorder="1" applyAlignment="1" applyProtection="1">
      <alignment horizontal="center"/>
    </xf>
    <xf numFmtId="165" fontId="4" fillId="3" borderId="20" xfId="2" applyNumberFormat="1" applyFont="1" applyFill="1" applyBorder="1" applyAlignment="1" applyProtection="1">
      <alignment horizontal="center"/>
    </xf>
    <xf numFmtId="165" fontId="4" fillId="3" borderId="20" xfId="2" applyNumberFormat="1" applyFont="1" applyFill="1" applyBorder="1" applyAlignment="1" applyProtection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9" fontId="4" fillId="3" borderId="0" xfId="0" applyNumberFormat="1" applyFont="1" applyFill="1" applyAlignment="1">
      <alignment horizontal="center"/>
    </xf>
    <xf numFmtId="165" fontId="4" fillId="3" borderId="38" xfId="2" applyNumberFormat="1" applyFont="1" applyFill="1" applyBorder="1" applyAlignment="1" applyProtection="1">
      <alignment horizontal="center"/>
    </xf>
    <xf numFmtId="0" fontId="18" fillId="2" borderId="40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13" fillId="7" borderId="2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Porcentaje" xfId="1" builtinId="5"/>
    <cellStyle name="Texto explicativo" xfId="2" builtinId="53" customBuiltin="1"/>
  </cellStyles>
  <dxfs count="2">
    <dxf>
      <font>
        <strike val="0"/>
        <color rgb="FFFFFFFF"/>
      </font>
    </dxf>
    <dxf>
      <font>
        <strike val="0"/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FABAB"/>
      <rgbColor rgb="FF7030A0"/>
      <rgbColor rgb="FFFFFFCC"/>
      <rgbColor rgb="FFDBEEF4"/>
      <rgbColor rgb="FF660066"/>
      <rgbColor rgb="FFED7D31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8001"/>
      <rgbColor rgb="FFFA7D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2228850</xdr:colOff>
      <xdr:row>49</xdr:row>
      <xdr:rowOff>142875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670891</xdr:colOff>
      <xdr:row>23</xdr:row>
      <xdr:rowOff>16566</xdr:rowOff>
    </xdr:from>
    <xdr:to>
      <xdr:col>2</xdr:col>
      <xdr:colOff>904817</xdr:colOff>
      <xdr:row>30</xdr:row>
      <xdr:rowOff>32497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95E84-C497-5F51-2C91-BAA142649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891" y="4629979"/>
          <a:ext cx="2553056" cy="1390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6"/>
  <sheetViews>
    <sheetView topLeftCell="A7" zoomScaleNormal="100" workbookViewId="0">
      <selection activeCell="H43" sqref="H43:K43"/>
    </sheetView>
  </sheetViews>
  <sheetFormatPr baseColWidth="10" defaultColWidth="9.140625" defaultRowHeight="15" x14ac:dyDescent="0.25"/>
  <cols>
    <col min="1" max="1" width="38.28515625" customWidth="1"/>
    <col min="2" max="2" width="40.7109375" customWidth="1"/>
    <col min="3" max="3" width="33.42578125" customWidth="1"/>
    <col min="4" max="4" width="32.85546875" customWidth="1"/>
    <col min="5" max="5" width="31.140625" customWidth="1"/>
    <col min="6" max="6" width="10.5703125" customWidth="1"/>
    <col min="7" max="7" width="16.42578125" customWidth="1"/>
    <col min="8" max="14" width="10.5703125" customWidth="1"/>
    <col min="15" max="15" width="24.140625" customWidth="1"/>
    <col min="16" max="1025" width="10.5703125" customWidth="1"/>
  </cols>
  <sheetData>
    <row r="1" spans="1:22" s="2" customFormat="1" ht="30" customHeight="1" x14ac:dyDescent="0.25">
      <c r="A1" s="268" t="s">
        <v>0</v>
      </c>
      <c r="B1" s="268"/>
      <c r="C1" s="26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2" s="2" customFormat="1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2" s="2" customFormat="1" ht="30" customHeight="1" x14ac:dyDescent="0.25">
      <c r="A3" s="1"/>
      <c r="B3" s="1"/>
      <c r="C3" s="1"/>
      <c r="D3" s="1"/>
      <c r="E3" s="1"/>
      <c r="F3" s="1"/>
      <c r="G3" s="269" t="s">
        <v>1</v>
      </c>
      <c r="H3" s="269"/>
      <c r="I3" s="269"/>
      <c r="J3" s="26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s="2" customFormat="1" ht="30" customHeight="1" x14ac:dyDescent="0.25">
      <c r="A4" s="3" t="s">
        <v>2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s="2" customFormat="1" ht="30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s="2" customFormat="1" ht="30" customHeigh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1"/>
      <c r="G6" s="270" t="s">
        <v>8</v>
      </c>
      <c r="H6" s="270"/>
      <c r="I6" s="270"/>
      <c r="J6" s="27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s="2" customFormat="1" ht="30" customHeight="1" x14ac:dyDescent="0.25">
      <c r="A7" s="6" t="s">
        <v>9</v>
      </c>
      <c r="B7" s="6" t="s">
        <v>2200</v>
      </c>
      <c r="C7" s="6">
        <v>1700</v>
      </c>
      <c r="D7" s="6" t="s">
        <v>2217</v>
      </c>
      <c r="E7" s="7" t="s">
        <v>12</v>
      </c>
      <c r="F7" s="1"/>
      <c r="G7" s="269" t="str">
        <f>CONCATENATE("EJ",VLOOKUP(A7,'HERR CODS'!C2:D3,2,0),VLOOKUP(B7,'HERR CODS'!E2:F5,2,0),IF(C7/10&lt;100,CONCATENATE("0",C7/10),C7/10),VLOOKUP(D7,'HERR CODS'!I2:J14,2,0),VLOOKUP(E7,'HERR CODS'!K2:L4,2,0))</f>
        <v>EJBA170ES</v>
      </c>
      <c r="H7" s="269"/>
      <c r="I7" s="269"/>
      <c r="J7" s="26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s="2" customFormat="1" ht="30" customHeight="1" x14ac:dyDescent="0.25">
      <c r="A8" s="1"/>
      <c r="B8" s="1"/>
      <c r="C8" s="1"/>
      <c r="D8" s="1"/>
      <c r="E8" s="1"/>
      <c r="F8" s="1"/>
      <c r="G8" s="271" t="str">
        <f>IF(COUNTIF('P. PARTES'!$A$4:$C$604,CODIFICADOR!G7)=1,"SI","NO")</f>
        <v>NO</v>
      </c>
      <c r="H8" s="271"/>
      <c r="I8" s="271"/>
      <c r="J8" s="27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s="2" customFormat="1" ht="30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s="2" customFormat="1" ht="30" customHeight="1" x14ac:dyDescent="0.25">
      <c r="A10" s="8" t="s">
        <v>13</v>
      </c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s="2" customFormat="1" ht="30" customHeight="1" x14ac:dyDescent="0.25">
      <c r="A11" s="1"/>
      <c r="B11" s="1"/>
      <c r="C11" s="1"/>
      <c r="D11" s="1"/>
      <c r="E11" s="1"/>
      <c r="F11" s="1"/>
      <c r="G11" s="270" t="s">
        <v>8</v>
      </c>
      <c r="H11" s="270"/>
      <c r="I11" s="270"/>
      <c r="J11" s="27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2" customFormat="1" ht="39.75" customHeight="1" x14ac:dyDescent="0.25">
      <c r="A12" s="10" t="s">
        <v>14</v>
      </c>
      <c r="B12" s="10" t="s">
        <v>15</v>
      </c>
      <c r="C12" s="10" t="s">
        <v>7</v>
      </c>
      <c r="D12" s="1"/>
      <c r="E12" s="1"/>
      <c r="F12" s="1"/>
      <c r="G12" s="269" t="str">
        <f>CONCATENATE("AB-",VLOOKUP(A13,'HERR CODS'!B24:C29,2,0),"-",VLOOKUP(B13,'HERR CODS'!P24:Q36,2,0),VLOOKUP(C13,'HERR CODS'!H70:I74,2,0))</f>
        <v>AB-2-30</v>
      </c>
      <c r="H12" s="269"/>
      <c r="I12" s="269"/>
      <c r="J12" s="26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s="2" customFormat="1" ht="30" customHeight="1" x14ac:dyDescent="0.25">
      <c r="A13" s="11" t="s">
        <v>19</v>
      </c>
      <c r="B13" s="12">
        <v>30</v>
      </c>
      <c r="C13" s="13" t="s">
        <v>17</v>
      </c>
      <c r="D13" s="1"/>
      <c r="E13" s="1"/>
      <c r="F13" s="1"/>
      <c r="G13" s="271" t="str">
        <f>IF(COUNTIF('P. PARTES'!$A$4:$C$604,CODIFICADOR!G12)=1,"SI","NO")</f>
        <v>SI</v>
      </c>
      <c r="H13" s="271"/>
      <c r="I13" s="271"/>
      <c r="J13" s="2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s="2" customFormat="1" ht="30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s="2" customFormat="1" ht="30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s="2" customFormat="1" ht="30" customHeight="1" x14ac:dyDescent="0.25">
      <c r="A16" s="8" t="s">
        <v>18</v>
      </c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s="2" customFormat="1" ht="30" customHeight="1" x14ac:dyDescent="0.25">
      <c r="A17" s="1"/>
      <c r="B17" s="1"/>
      <c r="C17" s="1"/>
      <c r="D17" s="1"/>
      <c r="E17" s="1"/>
      <c r="F17" s="1"/>
      <c r="G17" s="270" t="s">
        <v>8</v>
      </c>
      <c r="H17" s="270"/>
      <c r="I17" s="270"/>
      <c r="J17" s="27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s="2" customFormat="1" ht="42" customHeight="1" x14ac:dyDescent="0.25">
      <c r="A18" s="10" t="s">
        <v>15</v>
      </c>
      <c r="B18" s="10" t="s">
        <v>14</v>
      </c>
      <c r="C18" s="10" t="s">
        <v>7</v>
      </c>
      <c r="D18" s="1"/>
      <c r="E18" s="1"/>
      <c r="F18" s="1"/>
      <c r="G18" s="269" t="e">
        <f>CONCATENATE("AD-",VLOOKUP(A19,'HERR CODS'!E24:F36,2,0),"-",VLOOKUP(B19,'HERR CODS'!B72:C75,2,0),VLOOKUP(C19,'HERR CODS'!H70:I74,2,0))</f>
        <v>#N/A</v>
      </c>
      <c r="H18" s="269"/>
      <c r="I18" s="269"/>
      <c r="J18" s="26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s="2" customFormat="1" ht="30" customHeight="1" x14ac:dyDescent="0.25">
      <c r="A19" s="11"/>
      <c r="B19" s="12"/>
      <c r="C19" s="13"/>
      <c r="D19" s="1"/>
      <c r="E19" s="1"/>
      <c r="F19" s="1"/>
      <c r="G19" s="270" t="s">
        <v>21</v>
      </c>
      <c r="H19" s="270"/>
      <c r="I19" s="270"/>
      <c r="J19" s="27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2" customFormat="1" ht="30" customHeight="1" x14ac:dyDescent="0.25">
      <c r="A20" s="1"/>
      <c r="B20" s="1"/>
      <c r="C20" s="1"/>
      <c r="D20" s="1"/>
      <c r="E20" s="1"/>
      <c r="F20" s="1"/>
      <c r="G20" s="271" t="str">
        <f>IF(COUNTIF('P. PARTES'!$A$4:$C$604,CODIFICADOR!G18)=1,"SI","NO")</f>
        <v>NO</v>
      </c>
      <c r="H20" s="271"/>
      <c r="I20" s="271"/>
      <c r="J20" s="27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s="2" customFormat="1" ht="3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s="2" customFormat="1" ht="30" customHeight="1" x14ac:dyDescent="0.25">
      <c r="A22" s="8" t="s">
        <v>22</v>
      </c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s="2" customFormat="1" ht="30" customHeight="1" x14ac:dyDescent="0.25">
      <c r="A23" s="1"/>
      <c r="B23" s="1"/>
      <c r="C23" s="1"/>
      <c r="D23" s="1"/>
      <c r="E23" s="1"/>
      <c r="F23" s="1"/>
      <c r="G23" s="270" t="s">
        <v>8</v>
      </c>
      <c r="H23" s="270"/>
      <c r="I23" s="270"/>
      <c r="J23" s="27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s="2" customFormat="1" ht="48" customHeight="1" x14ac:dyDescent="0.25">
      <c r="A24" s="10" t="s">
        <v>23</v>
      </c>
      <c r="B24" s="10" t="s">
        <v>24</v>
      </c>
      <c r="C24" s="10" t="s">
        <v>25</v>
      </c>
      <c r="D24" s="10" t="s">
        <v>26</v>
      </c>
      <c r="E24" s="10" t="s">
        <v>7</v>
      </c>
      <c r="F24" s="1"/>
      <c r="G24" s="269" t="str">
        <f>CONCATENATE("P",VLOOKUP(A25,'HERR CODS'!A40:B49,2,0),"-",VLOOKUP(B25,'HERR CODS'!D40:E64,2,0),VLOOKUP(C25,'HERR CODS'!G40:H53,2,0),VLOOKUP(D25,'HERR CODS'!I40:J42,2,0),VLOOKUP(E25,'HERR CODS'!M40:N42,2,0))</f>
        <v>P2-GEMS</v>
      </c>
      <c r="H24" s="269"/>
      <c r="I24" s="269"/>
      <c r="J24" s="269"/>
      <c r="K24" s="1"/>
      <c r="L24" s="1"/>
      <c r="M24" s="1"/>
      <c r="N24" s="1"/>
      <c r="O24" s="1"/>
      <c r="P24" s="1"/>
      <c r="Q24" s="1"/>
      <c r="R24" s="272"/>
      <c r="S24" s="272"/>
      <c r="T24" s="272"/>
      <c r="U24" s="272"/>
      <c r="V24" s="1"/>
    </row>
    <row r="25" spans="1:22" s="2" customFormat="1" ht="30" customHeight="1" x14ac:dyDescent="0.25">
      <c r="A25" s="11" t="s">
        <v>2268</v>
      </c>
      <c r="B25" s="12">
        <v>500</v>
      </c>
      <c r="C25" s="14" t="s">
        <v>2217</v>
      </c>
      <c r="D25" s="12" t="s">
        <v>2266</v>
      </c>
      <c r="E25" s="13" t="s">
        <v>29</v>
      </c>
      <c r="F25" s="1"/>
      <c r="G25" s="270" t="s">
        <v>21</v>
      </c>
      <c r="H25" s="270"/>
      <c r="I25" s="270"/>
      <c r="J25" s="27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6.25" x14ac:dyDescent="0.4">
      <c r="A26" s="15"/>
      <c r="B26" s="15"/>
      <c r="C26" s="15"/>
      <c r="D26" s="15"/>
      <c r="E26" s="15"/>
      <c r="F26" s="15"/>
      <c r="G26" s="274" t="str">
        <f>IF(COUNTIF('P. PARTES'!$A$3:$C$604,CODIFICADOR!G24)=1,"SI","NO")</f>
        <v>SI</v>
      </c>
      <c r="H26" s="274"/>
      <c r="I26" s="274"/>
      <c r="J26" s="274"/>
      <c r="K26" s="15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23.25" x14ac:dyDescent="0.35">
      <c r="A28" s="1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23.25" x14ac:dyDescent="0.35">
      <c r="A29" s="18" t="s">
        <v>30</v>
      </c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23.45" customHeight="1" x14ac:dyDescent="0.35">
      <c r="A30" s="20"/>
      <c r="B30" s="21"/>
      <c r="C30" s="21"/>
      <c r="D30" s="21"/>
      <c r="E30" s="22"/>
      <c r="F30" s="15"/>
      <c r="G30" s="15"/>
      <c r="H30" s="15"/>
      <c r="I30" s="15"/>
      <c r="J30" s="15"/>
      <c r="K30" s="1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23.45" customHeight="1" x14ac:dyDescent="0.3">
      <c r="A31" s="23"/>
      <c r="B31" s="275" t="s">
        <v>31</v>
      </c>
      <c r="C31" s="275"/>
      <c r="D31" s="275"/>
      <c r="E31" s="24"/>
      <c r="F31" s="15"/>
      <c r="G31" s="15"/>
      <c r="H31" s="15"/>
      <c r="I31" s="15"/>
      <c r="J31" s="15"/>
      <c r="K31" s="15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ht="23.45" customHeight="1" x14ac:dyDescent="0.25">
      <c r="A32" s="10" t="s">
        <v>32</v>
      </c>
      <c r="B32" s="10" t="s">
        <v>33</v>
      </c>
      <c r="C32" s="10" t="s">
        <v>34</v>
      </c>
      <c r="D32" s="10" t="s">
        <v>35</v>
      </c>
      <c r="E32" s="25"/>
      <c r="F32" s="15"/>
      <c r="G32" s="15"/>
      <c r="H32" s="15"/>
      <c r="I32" s="15"/>
      <c r="J32" s="15"/>
      <c r="K32" s="15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38" ht="23.45" customHeight="1" x14ac:dyDescent="0.25">
      <c r="A33" s="12" t="s">
        <v>36</v>
      </c>
      <c r="B33" s="12" t="s">
        <v>27</v>
      </c>
      <c r="C33" s="12">
        <v>1</v>
      </c>
      <c r="D33" s="12">
        <v>500</v>
      </c>
      <c r="E33" s="24"/>
      <c r="F33" s="15"/>
      <c r="G33" s="15"/>
      <c r="H33" s="15"/>
      <c r="I33" s="15"/>
      <c r="J33" s="15"/>
      <c r="K33" s="15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38" ht="23.45" customHeight="1" x14ac:dyDescent="0.25">
      <c r="A34" s="26"/>
      <c r="B34" s="27"/>
      <c r="C34" s="27"/>
      <c r="D34" s="27"/>
      <c r="E34" s="24"/>
      <c r="F34" s="15"/>
      <c r="G34" s="15"/>
      <c r="H34" s="15"/>
      <c r="I34" s="15"/>
      <c r="J34" s="15"/>
      <c r="K34" s="15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38" ht="23.45" customHeight="1" x14ac:dyDescent="0.25">
      <c r="A35" s="26"/>
      <c r="B35" s="273" t="s">
        <v>37</v>
      </c>
      <c r="C35" s="273"/>
      <c r="D35" s="273"/>
      <c r="E35" s="24"/>
      <c r="F35" s="15"/>
      <c r="G35" s="15"/>
      <c r="H35" s="15"/>
      <c r="I35" s="15"/>
      <c r="J35" s="15"/>
      <c r="K35" s="15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38" ht="23.45" customHeight="1" x14ac:dyDescent="0.25">
      <c r="A36" s="26"/>
      <c r="B36" s="10" t="s">
        <v>33</v>
      </c>
      <c r="C36" s="10" t="s">
        <v>34</v>
      </c>
      <c r="D36" s="10" t="s">
        <v>38</v>
      </c>
      <c r="E36" s="24"/>
      <c r="F36" s="15"/>
      <c r="G36" s="15"/>
      <c r="H36" s="15"/>
      <c r="I36" s="15"/>
      <c r="J36" s="15"/>
      <c r="K36" s="15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38" ht="23.45" customHeight="1" x14ac:dyDescent="0.4">
      <c r="A37" s="26"/>
      <c r="B37" s="12" t="s">
        <v>39</v>
      </c>
      <c r="C37" s="12" t="s">
        <v>39</v>
      </c>
      <c r="D37" s="12" t="s">
        <v>39</v>
      </c>
      <c r="E37" s="24"/>
      <c r="F37" s="15"/>
      <c r="G37" s="276" t="s">
        <v>8</v>
      </c>
      <c r="H37" s="276"/>
      <c r="I37" s="276"/>
      <c r="J37" s="276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38" ht="23.45" customHeight="1" x14ac:dyDescent="0.4">
      <c r="A38" s="26"/>
      <c r="B38" s="28"/>
      <c r="C38" s="28"/>
      <c r="D38" s="28"/>
      <c r="E38" s="24"/>
      <c r="F38" s="15"/>
      <c r="G38" s="274" t="str">
        <f>CONCATENATE(VLOOKUP(A33,'HERR CODS'!A83:B84,2,0),VLOOKUP(B33,'HERR CODS'!C91:D101,2,0),VLOOKUP(C33,'HERR CODS'!E92:F96,2,0),VLOOKUP(D33,'HERR CODS'!G102:H128,2,0),VLOOKUP(B37,'HERR CODS'!C91:D101,2,0),IF(B37="NO APLICA",,VLOOKUP(C37,'HERR CODS'!E92:F96,2,0)),IF(B37="NO APLICA","-",VLOOKUP(D37,'HERR CODS'!G102:H128,2,0)),IF(B40/100&lt;10,CONCATENATE("0",B40/100),B40/100),VLOOKUP(C40,'HERR CODS'!Q103:R124,2,0),IF(D40&lt;100,CONCATENATE("0",D40),D40),VLOOKUP(B44,'HERR CODS'!U90:V91,2,0),VLOOKUP(C44,'HERR CODS'!W90:X95,2,0),VLOOKUP(CODIFICADOR!D44,'HERR CODS'!Y90:Z91,2,0),VLOOKUP(CODIFICADOR!B46,'HERR CODS'!AA90:AB91,2,0),VLOOKUP(CODIFICADOR!C46,'HERR CODS'!AC90:AD93,2,0),VLOOKUP(D46,'HERR CODS'!AE89:AF95,2,0))</f>
        <v>V3AF-08G090</v>
      </c>
      <c r="H38" s="274"/>
      <c r="I38" s="274"/>
      <c r="J38" s="274"/>
      <c r="K38" s="15"/>
      <c r="L38" s="16"/>
      <c r="M38" s="16"/>
      <c r="N38" s="16"/>
      <c r="O38" s="16"/>
      <c r="P38" s="16"/>
      <c r="Q38" s="16"/>
      <c r="R38" s="16"/>
      <c r="S38" s="16"/>
      <c r="T38" s="16"/>
      <c r="U38" s="16"/>
      <c r="AI38" s="274" t="e">
        <f>CONCATENATE(VLOOKUP(AC33,'HERR CODS'!AC83:AD84,2,0),VLOOKUP(AD33,'HERR CODS'!AE91:AF101,2,0),VLOOKUP(AE33,'HERR CODS'!AG92:AH96,2,0),VLOOKUP(AF33,'HERR CODS'!AI102:AJ128,2,0),VLOOKUP(AD37,'HERR CODS'!AE91:AF101,2,0),IF(AD37="NO APLICA",,VLOOKUP(AE37,'HERR CODS'!AG92:AH96,2,0)),IF(AD37="NO APLICA","-",VLOOKUP(AF37,'HERR CODS'!AI102:AJ128,2,0)),IF(AD40/100&lt;10,CONCATENATE("0",AD40/100),AD40/100),VLOOKUP(AE40,'HERR CODS'!AS103:AT124,2,0),IF(AF40&lt;100,CONCATENATE("0",AF40),AF40),VLOOKUP(AD44,'HERR CODS'!AW90:AX91,2,0),VLOOKUP(AE44,'HERR CODS'!AY90:AZ95,2,0),VLOOKUP(CODIFICADOR!AF44,'HERR CODS'!BA90:BB91,2,0),VLOOKUP(CODIFICADOR!AD46,'HERR CODS'!BC90:BD91,2,0),VLOOKUP(CODIFICADOR!AE46,'HERR CODS'!BE90:BF93,2,0),VLOOKUP(AF46,'HERR CODS'!BG89:BH94,2,0))</f>
        <v>#N/A</v>
      </c>
      <c r="AJ38" s="274"/>
      <c r="AK38" s="274"/>
      <c r="AL38" s="274"/>
    </row>
    <row r="39" spans="1:38" ht="23.45" customHeight="1" thickBot="1" x14ac:dyDescent="0.3">
      <c r="A39" s="26"/>
      <c r="B39" s="10" t="s">
        <v>40</v>
      </c>
      <c r="C39" s="10" t="s">
        <v>41</v>
      </c>
      <c r="D39" s="10" t="s">
        <v>42</v>
      </c>
      <c r="E39" s="24"/>
      <c r="F39" s="15"/>
      <c r="G39" s="278"/>
      <c r="H39" s="278"/>
      <c r="I39" s="278"/>
      <c r="J39" s="278"/>
      <c r="K39" s="15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38" ht="23.45" customHeight="1" thickBot="1" x14ac:dyDescent="0.45">
      <c r="A40" s="26"/>
      <c r="B40" s="12">
        <v>800</v>
      </c>
      <c r="C40" s="12">
        <v>2.2000000000000002</v>
      </c>
      <c r="D40" s="12">
        <v>90</v>
      </c>
      <c r="E40" s="24"/>
      <c r="F40" s="15"/>
      <c r="G40" s="274"/>
      <c r="H40" s="274"/>
      <c r="I40" s="274"/>
      <c r="J40" s="274"/>
      <c r="K40" s="15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38" ht="23.45" customHeight="1" thickBot="1" x14ac:dyDescent="0.3">
      <c r="A41" s="26"/>
      <c r="B41" s="28"/>
      <c r="C41" s="28"/>
      <c r="D41" s="28"/>
      <c r="E41" s="24"/>
      <c r="F41" s="15"/>
      <c r="G41" s="15"/>
      <c r="H41" s="15"/>
      <c r="I41" s="15"/>
      <c r="J41" s="15"/>
      <c r="K41" s="15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38" ht="23.45" customHeight="1" x14ac:dyDescent="0.25">
      <c r="A42" s="26"/>
      <c r="B42" s="273" t="s">
        <v>43</v>
      </c>
      <c r="C42" s="273"/>
      <c r="D42" s="273"/>
      <c r="E42" s="24"/>
      <c r="F42" s="15"/>
      <c r="G42" s="15"/>
      <c r="H42" s="15"/>
      <c r="I42" s="15"/>
      <c r="J42" s="15"/>
      <c r="K42" s="15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38" ht="23.45" customHeight="1" x14ac:dyDescent="0.4">
      <c r="A43" s="26"/>
      <c r="B43" s="10" t="s">
        <v>44</v>
      </c>
      <c r="C43" s="10" t="s">
        <v>45</v>
      </c>
      <c r="D43" s="10" t="s">
        <v>46</v>
      </c>
      <c r="E43" s="24"/>
      <c r="F43" s="15"/>
      <c r="G43" s="15"/>
      <c r="H43" s="277"/>
      <c r="I43" s="277"/>
      <c r="J43" s="277"/>
      <c r="K43" s="277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38" ht="23.45" customHeight="1" x14ac:dyDescent="0.25">
      <c r="A44" s="26"/>
      <c r="B44" s="12" t="s">
        <v>47</v>
      </c>
      <c r="C44" s="12" t="s">
        <v>48</v>
      </c>
      <c r="D44" s="12" t="s">
        <v>49</v>
      </c>
      <c r="E44" s="24"/>
      <c r="F44" s="15"/>
      <c r="G44" s="15"/>
      <c r="H44" s="15"/>
      <c r="I44" s="15"/>
      <c r="J44" s="15"/>
      <c r="K44" s="15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38" ht="30.75" customHeight="1" x14ac:dyDescent="0.25">
      <c r="A45" s="26"/>
      <c r="B45" s="10" t="s">
        <v>50</v>
      </c>
      <c r="C45" s="10" t="s">
        <v>51</v>
      </c>
      <c r="D45" s="10" t="s">
        <v>52</v>
      </c>
      <c r="E45" s="24"/>
      <c r="F45" s="15"/>
      <c r="G45" s="15"/>
      <c r="H45" s="15"/>
      <c r="I45" s="15"/>
      <c r="J45" s="15"/>
      <c r="K45" s="15"/>
      <c r="L45" s="16"/>
      <c r="M45" s="16"/>
      <c r="N45" s="16"/>
      <c r="O45" s="16"/>
    </row>
    <row r="46" spans="1:38" ht="23.45" customHeight="1" x14ac:dyDescent="0.25">
      <c r="A46" s="26"/>
      <c r="B46" s="12" t="s">
        <v>53</v>
      </c>
      <c r="C46" s="12" t="s">
        <v>2323</v>
      </c>
      <c r="D46" s="12" t="s">
        <v>54</v>
      </c>
      <c r="E46" s="24"/>
      <c r="F46" s="15"/>
      <c r="G46" s="15"/>
      <c r="H46" s="15"/>
      <c r="I46" s="15"/>
      <c r="J46" s="15"/>
      <c r="K46" s="15"/>
      <c r="L46" s="16"/>
      <c r="M46" s="16"/>
      <c r="N46" s="16"/>
      <c r="O46" s="16"/>
    </row>
    <row r="47" spans="1:38" x14ac:dyDescent="0.25">
      <c r="A47" s="23"/>
      <c r="B47" s="29"/>
      <c r="C47" s="29"/>
      <c r="D47" s="29"/>
      <c r="E47" s="24"/>
      <c r="F47" s="15"/>
      <c r="G47" s="15"/>
      <c r="H47" s="15"/>
      <c r="I47" s="15"/>
      <c r="J47" s="15"/>
      <c r="K47" s="15"/>
      <c r="L47" s="16"/>
      <c r="M47" s="16"/>
      <c r="N47" s="16"/>
      <c r="O47" s="16"/>
    </row>
    <row r="48" spans="1:38" x14ac:dyDescent="0.25">
      <c r="A48" s="30"/>
      <c r="B48" s="31"/>
      <c r="C48" s="31"/>
      <c r="D48" s="31"/>
      <c r="E48" s="32"/>
      <c r="F48" s="15"/>
      <c r="G48" s="15"/>
      <c r="H48" s="15"/>
      <c r="I48" s="15"/>
      <c r="J48" s="15"/>
      <c r="K48" s="15"/>
      <c r="L48" s="16"/>
      <c r="M48" s="16"/>
      <c r="N48" s="16"/>
      <c r="O48" s="16"/>
    </row>
    <row r="56" spans="4:4" x14ac:dyDescent="0.25">
      <c r="D56">
        <f>2.44/3</f>
        <v>0.81333333333333335</v>
      </c>
    </row>
  </sheetData>
  <mergeCells count="26">
    <mergeCell ref="H43:K43"/>
    <mergeCell ref="G38:J38"/>
    <mergeCell ref="AI38:AL38"/>
    <mergeCell ref="G39:J39"/>
    <mergeCell ref="G40:J40"/>
    <mergeCell ref="B42:D42"/>
    <mergeCell ref="G25:J25"/>
    <mergeCell ref="G26:J26"/>
    <mergeCell ref="B31:D31"/>
    <mergeCell ref="B35:D35"/>
    <mergeCell ref="G37:J37"/>
    <mergeCell ref="G19:J19"/>
    <mergeCell ref="G20:J20"/>
    <mergeCell ref="G23:J23"/>
    <mergeCell ref="G24:J24"/>
    <mergeCell ref="R24:U24"/>
    <mergeCell ref="G11:J11"/>
    <mergeCell ref="G12:J12"/>
    <mergeCell ref="G13:J13"/>
    <mergeCell ref="G17:J17"/>
    <mergeCell ref="G18:J18"/>
    <mergeCell ref="A1:C1"/>
    <mergeCell ref="G3:J3"/>
    <mergeCell ref="G6:J6"/>
    <mergeCell ref="G7:J7"/>
    <mergeCell ref="G8:J8"/>
  </mergeCells>
  <pageMargins left="0.7" right="0.7" top="0.75" bottom="0.75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00000000-0002-0000-0000-000000000000}">
          <x14:formula1>
            <xm:f>'HERR CODS'!$H$70:$H$74</xm:f>
          </x14:formula1>
          <x14:formula2>
            <xm:f>0</xm:f>
          </x14:formula2>
          <xm:sqref>C13 C19</xm:sqref>
        </x14:dataValidation>
        <x14:dataValidation type="list" allowBlank="1" showInputMessage="1" showErrorMessage="1" xr:uid="{00000000-0002-0000-0000-000001000000}">
          <x14:formula1>
            <xm:f>'HERR CODS'!$C$2:$C$3</xm:f>
          </x14:formula1>
          <x14:formula2>
            <xm:f>0</xm:f>
          </x14:formula2>
          <xm:sqref>A7</xm:sqref>
        </x14:dataValidation>
        <x14:dataValidation type="list" allowBlank="1" showInputMessage="1" showErrorMessage="1" xr:uid="{00000000-0002-0000-0000-000002000000}">
          <x14:formula1>
            <xm:f>'HERR CODS'!$E$2:$E$5</xm:f>
          </x14:formula1>
          <x14:formula2>
            <xm:f>0</xm:f>
          </x14:formula2>
          <xm:sqref>B7</xm:sqref>
        </x14:dataValidation>
        <x14:dataValidation type="list" allowBlank="1" showInputMessage="1" showErrorMessage="1" xr:uid="{00000000-0002-0000-0000-000003000000}">
          <x14:formula1>
            <xm:f>'HERR CODS'!$K$2:$K$4</xm:f>
          </x14:formula1>
          <x14:formula2>
            <xm:f>0</xm:f>
          </x14:formula2>
          <xm:sqref>E7</xm:sqref>
        </x14:dataValidation>
        <x14:dataValidation type="list" allowBlank="1" showInputMessage="1" showErrorMessage="1" xr:uid="{00000000-0002-0000-0000-000004000000}">
          <x14:formula1>
            <xm:f>'HERR CODS'!$B$24:$B$29</xm:f>
          </x14:formula1>
          <x14:formula2>
            <xm:f>0</xm:f>
          </x14:formula2>
          <xm:sqref>A13</xm:sqref>
        </x14:dataValidation>
        <x14:dataValidation type="list" allowBlank="1" showInputMessage="1" showErrorMessage="1" xr:uid="{00000000-0002-0000-0000-000005000000}">
          <x14:formula1>
            <xm:f>'HERR CODS'!$E$24:$E$36</xm:f>
          </x14:formula1>
          <x14:formula2>
            <xm:f>0</xm:f>
          </x14:formula2>
          <xm:sqref>B13 A19</xm:sqref>
        </x14:dataValidation>
        <x14:dataValidation type="list" allowBlank="1" showInputMessage="1" showErrorMessage="1" xr:uid="{00000000-0002-0000-0000-000006000000}">
          <x14:formula1>
            <xm:f>'HERR CODS'!$B$72:$B$75</xm:f>
          </x14:formula1>
          <x14:formula2>
            <xm:f>0</xm:f>
          </x14:formula2>
          <xm:sqref>B19</xm:sqref>
        </x14:dataValidation>
        <x14:dataValidation type="list" allowBlank="1" showInputMessage="1" showErrorMessage="1" xr:uid="{00000000-0002-0000-0000-000007000000}">
          <x14:formula1>
            <xm:f>'HERR CODS'!$A$40:$A$49</xm:f>
          </x14:formula1>
          <x14:formula2>
            <xm:f>0</xm:f>
          </x14:formula2>
          <xm:sqref>A25</xm:sqref>
        </x14:dataValidation>
        <x14:dataValidation type="list" allowBlank="1" showInputMessage="1" showErrorMessage="1" xr:uid="{00000000-0002-0000-0000-000008000000}">
          <x14:formula1>
            <xm:f>'HERR CODS'!$I$40:$I$42</xm:f>
          </x14:formula1>
          <x14:formula2>
            <xm:f>0</xm:f>
          </x14:formula2>
          <xm:sqref>D25</xm:sqref>
        </x14:dataValidation>
        <x14:dataValidation type="list" allowBlank="1" showInputMessage="1" showErrorMessage="1" xr:uid="{00000000-0002-0000-0000-000009000000}">
          <x14:formula1>
            <xm:f>'HERR CODS'!$M$40:$M$42</xm:f>
          </x14:formula1>
          <x14:formula2>
            <xm:f>0</xm:f>
          </x14:formula2>
          <xm:sqref>E25</xm:sqref>
        </x14:dataValidation>
        <x14:dataValidation type="list" allowBlank="1" showInputMessage="1" showErrorMessage="1" xr:uid="{00000000-0002-0000-0000-00000A000000}">
          <x14:formula1>
            <xm:f>'HERR CODS'!$A$83:$A$84</xm:f>
          </x14:formula1>
          <x14:formula2>
            <xm:f>0</xm:f>
          </x14:formula2>
          <xm:sqref>A33</xm:sqref>
        </x14:dataValidation>
        <x14:dataValidation type="list" allowBlank="1" showInputMessage="1" showErrorMessage="1" xr:uid="{00000000-0002-0000-0000-00000B000000}">
          <x14:formula1>
            <xm:f>'HERR CODS'!$C$91:$C$100</xm:f>
          </x14:formula1>
          <x14:formula2>
            <xm:f>0</xm:f>
          </x14:formula2>
          <xm:sqref>B33</xm:sqref>
        </x14:dataValidation>
        <x14:dataValidation type="list" allowBlank="1" showInputMessage="1" showErrorMessage="1" xr:uid="{00000000-0002-0000-0000-00000C000000}">
          <x14:formula1>
            <xm:f>'HERR CODS'!$E$92:$E$95</xm:f>
          </x14:formula1>
          <x14:formula2>
            <xm:f>0</xm:f>
          </x14:formula2>
          <xm:sqref>C33</xm:sqref>
        </x14:dataValidation>
        <x14:dataValidation type="list" allowBlank="1" showInputMessage="1" showErrorMessage="1" xr:uid="{00000000-0002-0000-0000-00000D000000}">
          <x14:formula1>
            <xm:f>'HERR CODS'!$C$91:$C$101</xm:f>
          </x14:formula1>
          <x14:formula2>
            <xm:f>0</xm:f>
          </x14:formula2>
          <xm:sqref>B37</xm:sqref>
        </x14:dataValidation>
        <x14:dataValidation type="list" allowBlank="1" showInputMessage="1" showErrorMessage="1" xr:uid="{00000000-0002-0000-0000-00000E000000}">
          <x14:formula1>
            <xm:f>'HERR CODS'!$E$92:$E$96</xm:f>
          </x14:formula1>
          <x14:formula2>
            <xm:f>0</xm:f>
          </x14:formula2>
          <xm:sqref>C37</xm:sqref>
        </x14:dataValidation>
        <x14:dataValidation type="list" allowBlank="1" showInputMessage="1" showErrorMessage="1" xr:uid="{00000000-0002-0000-0000-00000F000000}">
          <x14:formula1>
            <xm:f>'HERR CODS'!$Q$103:$Q$124</xm:f>
          </x14:formula1>
          <x14:formula2>
            <xm:f>0</xm:f>
          </x14:formula2>
          <xm:sqref>C40</xm:sqref>
        </x14:dataValidation>
        <x14:dataValidation type="list" allowBlank="1" showInputMessage="1" showErrorMessage="1" xr:uid="{00000000-0002-0000-0000-000010000000}">
          <x14:formula1>
            <xm:f>'HERR CODS'!$U$90:$U$91</xm:f>
          </x14:formula1>
          <x14:formula2>
            <xm:f>0</xm:f>
          </x14:formula2>
          <xm:sqref>B44</xm:sqref>
        </x14:dataValidation>
        <x14:dataValidation type="list" allowBlank="1" showInputMessage="1" showErrorMessage="1" xr:uid="{00000000-0002-0000-0000-000011000000}">
          <x14:formula1>
            <xm:f>'HERR CODS'!$Y$90:$Y$91</xm:f>
          </x14:formula1>
          <x14:formula2>
            <xm:f>0</xm:f>
          </x14:formula2>
          <xm:sqref>D44</xm:sqref>
        </x14:dataValidation>
        <x14:dataValidation type="list" allowBlank="1" showInputMessage="1" showErrorMessage="1" xr:uid="{00000000-0002-0000-0000-000012000000}">
          <x14:formula1>
            <xm:f>'HERR CODS'!$AA$90:$AA$91</xm:f>
          </x14:formula1>
          <x14:formula2>
            <xm:f>0</xm:f>
          </x14:formula2>
          <xm:sqref>B46</xm:sqref>
        </x14:dataValidation>
        <x14:dataValidation type="list" allowBlank="1" showInputMessage="1" showErrorMessage="1" xr:uid="{00000000-0002-0000-0000-000013000000}">
          <x14:formula1>
            <xm:f>'HERR CODS'!$AC$90:$AC$93</xm:f>
          </x14:formula1>
          <x14:formula2>
            <xm:f>0</xm:f>
          </x14:formula2>
          <xm:sqref>C46</xm:sqref>
        </x14:dataValidation>
        <x14:dataValidation type="list" allowBlank="1" showInputMessage="1" showErrorMessage="1" xr:uid="{00000000-0002-0000-0000-000014000000}">
          <x14:formula1>
            <xm:f>'HERR CODS'!$W$90:$W$95</xm:f>
          </x14:formula1>
          <x14:formula2>
            <xm:f>0</xm:f>
          </x14:formula2>
          <xm:sqref>C44</xm:sqref>
        </x14:dataValidation>
        <x14:dataValidation type="list" allowBlank="1" showInputMessage="1" showErrorMessage="1" xr:uid="{00000000-0002-0000-0000-000015000000}">
          <x14:formula1>
            <xm:f>'HERR CODS'!$I$2:$I$14</xm:f>
          </x14:formula1>
          <x14:formula2>
            <xm:f>0</xm:f>
          </x14:formula2>
          <xm:sqref>D7</xm:sqref>
        </x14:dataValidation>
        <x14:dataValidation type="list" allowBlank="1" showInputMessage="1" showErrorMessage="1" xr:uid="{00000000-0002-0000-0000-000016000000}">
          <x14:formula1>
            <xm:f>'HERR CODS'!$G$40:$G$52</xm:f>
          </x14:formula1>
          <x14:formula2>
            <xm:f>0</xm:f>
          </x14:formula2>
          <xm:sqref>C25</xm:sqref>
        </x14:dataValidation>
        <x14:dataValidation type="list" allowBlank="1" showInputMessage="1" showErrorMessage="1" xr:uid="{00000000-0002-0000-0000-000017000000}">
          <x14:formula1>
            <xm:f>'HERR CODS'!$G$102:$G$128</xm:f>
          </x14:formula1>
          <x14:formula2>
            <xm:f>0</xm:f>
          </x14:formula2>
          <xm:sqref>D33 D37</xm:sqref>
        </x14:dataValidation>
        <x14:dataValidation type="list" allowBlank="1" showInputMessage="1" showErrorMessage="1" xr:uid="{00000000-0002-0000-0000-000018000000}">
          <x14:formula1>
            <xm:f>'HERR CODS'!$D$40:$D$64</xm:f>
          </x14:formula1>
          <x14:formula2>
            <xm:f>0</xm:f>
          </x14:formula2>
          <xm:sqref>B25</xm:sqref>
        </x14:dataValidation>
        <x14:dataValidation type="list" allowBlank="1" showInputMessage="1" showErrorMessage="1" xr:uid="{00000000-0002-0000-0000-000019000000}">
          <x14:formula1>
            <xm:f>'HERR CODS'!$AE$89:$AE$95</xm:f>
          </x14:formula1>
          <x14:formula2>
            <xm:f>0</xm:f>
          </x14:formula2>
          <xm:sqref>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77"/>
  <sheetViews>
    <sheetView tabSelected="1" zoomScale="115" zoomScaleNormal="115" workbookViewId="0">
      <selection activeCell="E16" sqref="E16:F16"/>
    </sheetView>
  </sheetViews>
  <sheetFormatPr baseColWidth="10" defaultColWidth="9.140625" defaultRowHeight="15" x14ac:dyDescent="0.25"/>
  <cols>
    <col min="1" max="1" width="17.7109375" customWidth="1"/>
    <col min="2" max="2" width="17" customWidth="1"/>
    <col min="3" max="3" width="62.28515625" customWidth="1"/>
    <col min="4" max="4" width="9.140625" customWidth="1"/>
    <col min="5" max="5" width="31" bestFit="1" customWidth="1"/>
    <col min="6" max="6" width="8.28515625" bestFit="1" customWidth="1"/>
    <col min="7" max="7" width="15.42578125" bestFit="1" customWidth="1"/>
    <col min="8" max="8" width="9.140625" customWidth="1"/>
    <col min="9" max="9" width="29.85546875" hidden="1" customWidth="1"/>
    <col min="10" max="10" width="14.140625" customWidth="1"/>
    <col min="11" max="11" width="30.140625" customWidth="1"/>
    <col min="12" max="12" width="17.85546875" customWidth="1"/>
    <col min="13" max="16" width="9.140625" customWidth="1"/>
    <col min="17" max="17" width="13.7109375" hidden="1" customWidth="1"/>
    <col min="18" max="18" width="9.140625" hidden="1" customWidth="1"/>
    <col min="19" max="1025" width="9.140625" customWidth="1"/>
  </cols>
  <sheetData>
    <row r="1" spans="1:23" ht="18.75" x14ac:dyDescent="0.3">
      <c r="A1" s="33" t="s">
        <v>55</v>
      </c>
      <c r="B1" s="33"/>
      <c r="C1" s="231"/>
      <c r="D1" s="34"/>
      <c r="E1" s="34"/>
      <c r="F1" s="33"/>
      <c r="G1" s="33"/>
      <c r="H1" s="35"/>
      <c r="I1" s="36" t="s">
        <v>56</v>
      </c>
      <c r="J1" s="3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5" customHeight="1" x14ac:dyDescent="0.25">
      <c r="A2" s="250" t="s">
        <v>57</v>
      </c>
      <c r="B2" s="250"/>
      <c r="C2" s="250"/>
      <c r="D2" s="250"/>
      <c r="E2" s="250" t="s">
        <v>58</v>
      </c>
      <c r="F2" s="250"/>
      <c r="G2" s="38" t="s">
        <v>59</v>
      </c>
      <c r="H2" s="3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5" customHeight="1" x14ac:dyDescent="0.25">
      <c r="A3" s="250"/>
      <c r="B3" s="250"/>
      <c r="C3" s="250"/>
      <c r="D3" s="250"/>
      <c r="E3" s="251"/>
      <c r="F3" s="251"/>
      <c r="G3" s="40"/>
      <c r="H3" s="3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.75" thickBot="1" x14ac:dyDescent="0.3">
      <c r="A4" s="41"/>
      <c r="B4" s="42" t="s">
        <v>60</v>
      </c>
      <c r="C4" s="42" t="s">
        <v>61</v>
      </c>
      <c r="D4" s="43" t="s">
        <v>62</v>
      </c>
      <c r="E4" s="252"/>
      <c r="F4" s="252"/>
      <c r="G4" s="41" t="s">
        <v>63</v>
      </c>
      <c r="H4" s="3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15.75" thickBot="1" x14ac:dyDescent="0.3">
      <c r="A5" s="44" t="s">
        <v>64</v>
      </c>
      <c r="B5" s="45" t="s">
        <v>1700</v>
      </c>
      <c r="C5" s="46" t="s">
        <v>2430</v>
      </c>
      <c r="D5" s="47">
        <v>1</v>
      </c>
      <c r="E5" s="253">
        <v>5378000</v>
      </c>
      <c r="F5" s="253"/>
      <c r="G5" s="48">
        <f>E5</f>
        <v>5378000</v>
      </c>
      <c r="H5" s="39" t="s">
        <v>1706</v>
      </c>
      <c r="I5" s="16"/>
      <c r="J5" s="16"/>
      <c r="K5" s="16"/>
      <c r="L5" s="16"/>
      <c r="M5" s="16"/>
      <c r="N5" s="16"/>
      <c r="O5" s="16"/>
      <c r="P5" s="16"/>
      <c r="Q5" s="16" t="b">
        <f ca="1">NOT(R5)</f>
        <v>0</v>
      </c>
      <c r="R5" s="16">
        <f ca="1">COUNTIF(INDIRECT(A5),B5)</f>
        <v>1</v>
      </c>
      <c r="S5" s="16"/>
      <c r="T5" s="16"/>
      <c r="U5" s="16"/>
      <c r="V5" s="16"/>
      <c r="W5" s="16"/>
    </row>
    <row r="6" spans="1:23" x14ac:dyDescent="0.25">
      <c r="A6" s="44"/>
      <c r="B6" s="45"/>
      <c r="C6" s="46" t="s">
        <v>2429</v>
      </c>
      <c r="D6" s="47">
        <v>0</v>
      </c>
      <c r="E6" s="253">
        <v>9000000</v>
      </c>
      <c r="F6" s="253"/>
      <c r="G6" s="48">
        <f t="shared" ref="G6:G16" si="0">E6*D6</f>
        <v>0</v>
      </c>
      <c r="H6" s="39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5">
      <c r="A7" s="49" t="s">
        <v>66</v>
      </c>
      <c r="B7" s="49" t="s">
        <v>1201</v>
      </c>
      <c r="C7" s="46" t="str">
        <f>VLOOKUP(B7,'P. PARTES'!$A$3:C689,3,0)</f>
        <v>Propela Tripala 500 mm eje 1 1/2" con casquete 304SS</v>
      </c>
      <c r="D7" s="50">
        <v>1</v>
      </c>
      <c r="E7" s="254">
        <v>700000</v>
      </c>
      <c r="F7" s="254"/>
      <c r="G7" s="51">
        <f t="shared" ref="G7" si="1">E7*D7</f>
        <v>700000</v>
      </c>
      <c r="H7" s="39"/>
      <c r="I7" s="16"/>
      <c r="J7" s="16"/>
      <c r="K7" s="229"/>
      <c r="L7" s="16"/>
      <c r="M7" s="230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5">
      <c r="A8" s="49" t="s">
        <v>2191</v>
      </c>
      <c r="B8" s="49" t="s">
        <v>613</v>
      </c>
      <c r="C8" s="46" t="str">
        <f>VLOOKUP(B8,'P. PARTES'!$A$3:C689,3,0)</f>
        <v>Acople directo EJE AG 1 1/2" EJE MR 25 mm 304SS</v>
      </c>
      <c r="D8" s="50">
        <v>1</v>
      </c>
      <c r="E8" s="254">
        <v>380000</v>
      </c>
      <c r="F8" s="254"/>
      <c r="G8" s="51">
        <f t="shared" ref="G8" si="2">E8*D8</f>
        <v>380000</v>
      </c>
      <c r="H8" s="39"/>
      <c r="I8" s="16"/>
      <c r="J8" s="16"/>
      <c r="K8" s="229"/>
      <c r="L8" s="16"/>
      <c r="M8" s="230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5">
      <c r="A9" s="49" t="s">
        <v>2190</v>
      </c>
      <c r="B9" s="49" t="s">
        <v>300</v>
      </c>
      <c r="C9" s="46" t="str">
        <f>VLOOKUP(B9,'P. PARTES'!$A$3:C690,3,0)</f>
        <v>Eje macizo 1 1/2" 500 - 1000 mm 304SS</v>
      </c>
      <c r="D9" s="50">
        <v>1</v>
      </c>
      <c r="E9" s="254">
        <v>400000</v>
      </c>
      <c r="F9" s="254"/>
      <c r="G9" s="51">
        <f t="shared" si="0"/>
        <v>400000</v>
      </c>
      <c r="H9" s="39"/>
      <c r="I9" s="16" t="s">
        <v>71</v>
      </c>
      <c r="J9" s="16"/>
      <c r="K9" s="16"/>
      <c r="L9" s="16"/>
      <c r="M9" s="16"/>
      <c r="N9" s="16"/>
      <c r="O9" s="16"/>
      <c r="P9" s="16"/>
      <c r="Q9" s="16" t="b">
        <f t="shared" ref="Q9:Q13" ca="1" si="3">NOT(R9)</f>
        <v>0</v>
      </c>
      <c r="R9" s="16">
        <f t="shared" ref="R9:R13" ca="1" si="4">COUNTIF(INDIRECT(A9),B9)</f>
        <v>1</v>
      </c>
      <c r="S9" s="16"/>
      <c r="W9" s="16"/>
    </row>
    <row r="10" spans="1:23" x14ac:dyDescent="0.25">
      <c r="A10" s="49" t="s">
        <v>72</v>
      </c>
      <c r="B10" s="49" t="s">
        <v>2163</v>
      </c>
      <c r="C10" s="46" t="str">
        <f>VLOOKUP(B10,'P. PARTES'!$A$3:C691,3,0)</f>
        <v>Pletina cuadrada de 210 mm * 5/16" A36 GALVANIZADO</v>
      </c>
      <c r="D10" s="50">
        <v>1</v>
      </c>
      <c r="E10" s="254">
        <v>250000</v>
      </c>
      <c r="F10" s="254"/>
      <c r="G10" s="51">
        <f t="shared" si="0"/>
        <v>250000</v>
      </c>
      <c r="H10" s="39"/>
      <c r="I10" s="16"/>
      <c r="J10" s="52"/>
      <c r="K10" s="16"/>
      <c r="L10" s="16"/>
      <c r="M10" s="16"/>
      <c r="N10" s="16"/>
      <c r="O10" s="16"/>
      <c r="P10" s="16"/>
      <c r="Q10" s="16" t="b">
        <f t="shared" ca="1" si="3"/>
        <v>0</v>
      </c>
      <c r="R10" s="16">
        <f t="shared" ca="1" si="4"/>
        <v>1</v>
      </c>
      <c r="S10" s="16"/>
      <c r="W10" s="16"/>
    </row>
    <row r="11" spans="1:23" x14ac:dyDescent="0.25">
      <c r="A11" s="49" t="s">
        <v>74</v>
      </c>
      <c r="B11" s="49" t="s">
        <v>1708</v>
      </c>
      <c r="C11" s="46" t="s">
        <v>76</v>
      </c>
      <c r="D11" s="50">
        <v>1</v>
      </c>
      <c r="E11" s="254">
        <v>20000</v>
      </c>
      <c r="F11" s="254"/>
      <c r="G11" s="51">
        <f t="shared" si="0"/>
        <v>20000</v>
      </c>
      <c r="H11" s="39"/>
      <c r="I11" s="16"/>
      <c r="J11" s="16"/>
      <c r="K11" s="16"/>
      <c r="L11" s="16"/>
      <c r="M11" s="16"/>
      <c r="N11" s="16"/>
      <c r="O11" s="16"/>
      <c r="P11" s="16"/>
      <c r="Q11" s="16" t="b">
        <f t="shared" ca="1" si="3"/>
        <v>0</v>
      </c>
      <c r="R11" s="16">
        <f t="shared" ca="1" si="4"/>
        <v>1</v>
      </c>
      <c r="S11" s="16"/>
      <c r="T11" s="16"/>
      <c r="U11" s="16"/>
      <c r="V11" s="16"/>
      <c r="W11" s="16"/>
    </row>
    <row r="12" spans="1:23" x14ac:dyDescent="0.25">
      <c r="A12" s="49" t="s">
        <v>77</v>
      </c>
      <c r="B12" s="49" t="s">
        <v>78</v>
      </c>
      <c r="C12" s="46" t="s">
        <v>77</v>
      </c>
      <c r="D12" s="50">
        <v>1</v>
      </c>
      <c r="E12" s="254">
        <v>52000</v>
      </c>
      <c r="F12" s="254"/>
      <c r="G12" s="51">
        <f t="shared" si="0"/>
        <v>52000</v>
      </c>
      <c r="H12" s="39"/>
      <c r="I12" s="16"/>
      <c r="J12" s="16"/>
      <c r="K12" s="16"/>
      <c r="L12" s="16"/>
      <c r="M12" s="16"/>
      <c r="N12" s="16"/>
      <c r="O12" s="16"/>
      <c r="P12" s="16"/>
      <c r="Q12" s="16" t="b">
        <f t="shared" ca="1" si="3"/>
        <v>0</v>
      </c>
      <c r="R12" s="16">
        <f t="shared" ca="1" si="4"/>
        <v>1</v>
      </c>
      <c r="S12" s="16"/>
      <c r="T12" s="16"/>
      <c r="U12" s="16"/>
      <c r="V12" s="16"/>
      <c r="W12" s="16"/>
    </row>
    <row r="13" spans="1:23" x14ac:dyDescent="0.25">
      <c r="A13" s="49" t="s">
        <v>79</v>
      </c>
      <c r="B13" s="49"/>
      <c r="C13" s="46" t="s">
        <v>80</v>
      </c>
      <c r="D13" s="50">
        <v>1</v>
      </c>
      <c r="E13" s="254">
        <v>150000</v>
      </c>
      <c r="F13" s="254"/>
      <c r="G13" s="51">
        <f t="shared" si="0"/>
        <v>150000</v>
      </c>
      <c r="H13" s="39"/>
      <c r="I13" s="16"/>
      <c r="J13" s="16"/>
      <c r="K13" s="16"/>
      <c r="L13" s="16"/>
      <c r="M13" s="16"/>
      <c r="N13" s="16"/>
      <c r="O13" s="16"/>
      <c r="P13" s="16"/>
      <c r="Q13" s="16" t="e">
        <f t="shared" ca="1" si="3"/>
        <v>#REF!</v>
      </c>
      <c r="R13" s="16" t="e">
        <f t="shared" ca="1" si="4"/>
        <v>#REF!</v>
      </c>
      <c r="S13" s="16"/>
      <c r="T13" s="16"/>
      <c r="U13" s="16"/>
      <c r="V13" s="16"/>
      <c r="W13" s="16"/>
    </row>
    <row r="14" spans="1:23" x14ac:dyDescent="0.25">
      <c r="A14" s="49" t="s">
        <v>79</v>
      </c>
      <c r="B14" s="49"/>
      <c r="C14" s="46" t="s">
        <v>81</v>
      </c>
      <c r="D14" s="50">
        <v>1</v>
      </c>
      <c r="E14" s="255">
        <v>150000</v>
      </c>
      <c r="F14" s="255"/>
      <c r="G14" s="51">
        <f t="shared" si="0"/>
        <v>150000</v>
      </c>
      <c r="H14" s="39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5">
      <c r="A15" s="49" t="s">
        <v>79</v>
      </c>
      <c r="B15" s="49"/>
      <c r="C15" s="46" t="s">
        <v>82</v>
      </c>
      <c r="D15" s="50">
        <v>0</v>
      </c>
      <c r="E15" s="254">
        <v>300000</v>
      </c>
      <c r="F15" s="254"/>
      <c r="G15" s="51">
        <f t="shared" si="0"/>
        <v>0</v>
      </c>
      <c r="H15" s="39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x14ac:dyDescent="0.25">
      <c r="A16" s="49" t="s">
        <v>79</v>
      </c>
      <c r="B16" s="225"/>
      <c r="C16" s="226" t="s">
        <v>83</v>
      </c>
      <c r="D16" s="227">
        <v>0</v>
      </c>
      <c r="E16" s="259">
        <v>200000</v>
      </c>
      <c r="F16" s="259"/>
      <c r="G16" s="228">
        <f t="shared" si="0"/>
        <v>0</v>
      </c>
      <c r="H16" s="39"/>
      <c r="I16" s="16"/>
      <c r="J16" s="16"/>
      <c r="K16" s="16"/>
      <c r="L16" s="16"/>
      <c r="M16" s="16" t="s">
        <v>2391</v>
      </c>
      <c r="N16" s="16"/>
      <c r="O16" s="16"/>
      <c r="P16" s="16"/>
      <c r="Q16" s="16" t="e">
        <f ca="1">NOT(R16)</f>
        <v>#REF!</v>
      </c>
      <c r="R16" s="16" t="e">
        <f ca="1">COUNTIF(INDIRECT(A16),B16)</f>
        <v>#REF!</v>
      </c>
      <c r="S16" s="16"/>
      <c r="T16" s="16"/>
      <c r="U16" s="16"/>
      <c r="V16" s="16"/>
      <c r="W16" s="16"/>
    </row>
    <row r="17" spans="1:23" x14ac:dyDescent="0.25">
      <c r="A17" s="49" t="s">
        <v>79</v>
      </c>
      <c r="B17" s="49" t="s">
        <v>79</v>
      </c>
      <c r="C17" s="46" t="s">
        <v>2397</v>
      </c>
      <c r="D17" s="46">
        <v>0</v>
      </c>
      <c r="E17" s="254">
        <v>8000000</v>
      </c>
      <c r="F17" s="254"/>
      <c r="G17" s="51">
        <f>E17*D17</f>
        <v>0</v>
      </c>
      <c r="H17" s="39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5">
      <c r="A18" s="49" t="s">
        <v>79</v>
      </c>
      <c r="B18" s="49" t="s">
        <v>79</v>
      </c>
      <c r="C18" s="46" t="s">
        <v>2396</v>
      </c>
      <c r="D18" s="46">
        <v>1</v>
      </c>
      <c r="E18" s="254">
        <v>2300000</v>
      </c>
      <c r="F18" s="254"/>
      <c r="G18" s="51">
        <f>E18*D18</f>
        <v>2300000</v>
      </c>
      <c r="H18" s="39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5.75" thickBot="1" x14ac:dyDescent="0.3">
      <c r="A19" s="53"/>
      <c r="B19" s="53"/>
      <c r="C19" s="16"/>
      <c r="D19" s="260" t="s">
        <v>2418</v>
      </c>
      <c r="E19" s="260"/>
      <c r="F19" s="260"/>
      <c r="G19" s="240">
        <f>SUM(G5:G18)</f>
        <v>9780000</v>
      </c>
      <c r="H19" s="54"/>
      <c r="I19" s="16"/>
      <c r="J19" s="16"/>
      <c r="K19" s="55">
        <f>G23/L19</f>
        <v>21750720</v>
      </c>
      <c r="L19" s="16">
        <v>0.5</v>
      </c>
      <c r="M19" s="222">
        <v>0.5</v>
      </c>
      <c r="N19" s="16"/>
      <c r="O19" s="16"/>
      <c r="P19" s="16"/>
      <c r="Q19" s="16"/>
      <c r="S19" s="16"/>
      <c r="T19" s="16"/>
      <c r="U19" s="16"/>
      <c r="V19" s="16"/>
      <c r="W19" s="16"/>
    </row>
    <row r="20" spans="1:23" ht="19.5" thickBot="1" x14ac:dyDescent="0.35">
      <c r="A20" s="56" t="s">
        <v>84</v>
      </c>
      <c r="B20" s="57">
        <v>3650</v>
      </c>
      <c r="C20" s="16"/>
      <c r="D20" s="241" t="s">
        <v>85</v>
      </c>
      <c r="E20" s="242"/>
      <c r="F20" s="243">
        <v>0.05</v>
      </c>
      <c r="G20" s="244">
        <f>G19*F20</f>
        <v>489000</v>
      </c>
      <c r="H20" s="39"/>
      <c r="I20" s="16"/>
      <c r="J20" s="16"/>
      <c r="K20" s="58">
        <f>K19/B20</f>
        <v>5959.101369863014</v>
      </c>
      <c r="L20" s="59">
        <v>4000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8.75" x14ac:dyDescent="0.3">
      <c r="A21" s="237"/>
      <c r="B21" s="238"/>
      <c r="C21" s="16"/>
      <c r="D21" s="262" t="s">
        <v>2419</v>
      </c>
      <c r="E21" s="263"/>
      <c r="F21" s="243">
        <v>0.05</v>
      </c>
      <c r="G21" s="244">
        <f>(G19*F21)</f>
        <v>489000</v>
      </c>
      <c r="H21" s="39" t="s">
        <v>2427</v>
      </c>
      <c r="I21" s="16"/>
      <c r="J21" s="16"/>
      <c r="K21" s="239"/>
      <c r="L21" s="11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8.75" x14ac:dyDescent="0.3">
      <c r="A22" s="237"/>
      <c r="B22" s="238"/>
      <c r="C22" s="16"/>
      <c r="D22" s="245" t="s">
        <v>2420</v>
      </c>
      <c r="E22" s="246"/>
      <c r="F22" s="243">
        <v>1.2E-2</v>
      </c>
      <c r="G22" s="244">
        <f>G19*F22*H22</f>
        <v>117360</v>
      </c>
      <c r="H22" s="39">
        <v>1</v>
      </c>
      <c r="I22" s="16"/>
      <c r="J22" s="16"/>
      <c r="K22" s="239"/>
      <c r="L22" s="11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x14ac:dyDescent="0.25">
      <c r="A23" s="53"/>
      <c r="B23" s="53"/>
      <c r="C23" s="16"/>
      <c r="D23" s="262" t="s">
        <v>2421</v>
      </c>
      <c r="E23" s="267"/>
      <c r="F23" s="263"/>
      <c r="G23" s="247">
        <f>SUM(G19:G22)</f>
        <v>10875360</v>
      </c>
      <c r="H23" s="39"/>
      <c r="J23" s="16"/>
      <c r="K23" s="5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5.75" thickBot="1" x14ac:dyDescent="0.3">
      <c r="A24" s="53"/>
      <c r="B24" s="53"/>
      <c r="C24" s="60"/>
      <c r="D24" s="261" t="s">
        <v>2422</v>
      </c>
      <c r="E24" s="261"/>
      <c r="F24" s="248">
        <v>0.4</v>
      </c>
      <c r="G24" s="249">
        <f>G23*F24</f>
        <v>4350144</v>
      </c>
      <c r="H24" s="39"/>
      <c r="I24" s="16"/>
      <c r="K24" s="61">
        <v>15300</v>
      </c>
      <c r="L24" s="223" t="s">
        <v>2392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.75" thickBot="1" x14ac:dyDescent="0.3">
      <c r="A25" s="53"/>
      <c r="B25" s="53"/>
      <c r="C25" s="60"/>
      <c r="D25" s="264" t="s">
        <v>2425</v>
      </c>
      <c r="E25" s="265"/>
      <c r="F25" s="266"/>
      <c r="G25" s="249">
        <f>G23+G24</f>
        <v>15225504</v>
      </c>
      <c r="H25" s="39"/>
      <c r="I25" s="16"/>
      <c r="J25" s="249" t="e">
        <f>#REF!*I25</f>
        <v>#REF!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.75" thickBot="1" x14ac:dyDescent="0.3">
      <c r="A26" s="53"/>
      <c r="B26" s="53"/>
      <c r="C26" s="60"/>
      <c r="D26" s="264" t="s">
        <v>2426</v>
      </c>
      <c r="E26" s="265"/>
      <c r="F26" s="266"/>
      <c r="G26" s="249">
        <f>G25/B20</f>
        <v>4171.37095890411</v>
      </c>
      <c r="H26" s="39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.75" thickBot="1" x14ac:dyDescent="0.3">
      <c r="A27" s="53"/>
      <c r="B27" s="53"/>
      <c r="C27" s="60"/>
      <c r="D27" s="264" t="s">
        <v>2423</v>
      </c>
      <c r="E27" s="265"/>
      <c r="F27" s="266"/>
      <c r="G27" s="249">
        <f>ROUND(G25,-4)</f>
        <v>15230000</v>
      </c>
      <c r="H27" s="39"/>
      <c r="I27" s="16"/>
      <c r="J27" s="16"/>
      <c r="K27" s="55"/>
      <c r="L27" s="62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.75" thickBot="1" x14ac:dyDescent="0.3">
      <c r="A28" s="53"/>
      <c r="B28" s="53"/>
      <c r="C28" s="60"/>
      <c r="D28" s="264" t="s">
        <v>2424</v>
      </c>
      <c r="E28" s="265"/>
      <c r="F28" s="266"/>
      <c r="G28" s="249">
        <f>ROUND(G26,-1)</f>
        <v>4170</v>
      </c>
      <c r="H28" s="39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x14ac:dyDescent="0.25">
      <c r="A29" s="53"/>
      <c r="B29" s="53"/>
      <c r="C29" s="60"/>
      <c r="D29" s="15"/>
      <c r="E29" s="15"/>
      <c r="F29" s="16"/>
      <c r="G29" s="16"/>
      <c r="H29" s="39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x14ac:dyDescent="0.25">
      <c r="A30" s="53"/>
      <c r="B30" s="53"/>
      <c r="C30" s="16"/>
      <c r="D30" s="15"/>
      <c r="E30" s="15"/>
      <c r="F30" s="16"/>
      <c r="G30" s="222"/>
      <c r="H30" s="39"/>
      <c r="I30" s="16"/>
      <c r="J30" s="16"/>
      <c r="K30" s="16"/>
      <c r="L30" s="16">
        <v>2023</v>
      </c>
      <c r="M30" s="16"/>
      <c r="N30" s="16" t="s">
        <v>2395</v>
      </c>
      <c r="O30" s="16"/>
      <c r="P30" s="16"/>
      <c r="Q30" s="16"/>
      <c r="R30" s="16"/>
      <c r="S30" s="16"/>
      <c r="T30" s="16"/>
      <c r="U30" s="16"/>
      <c r="V30" s="16"/>
      <c r="W30" s="16"/>
    </row>
    <row r="31" spans="1:23" x14ac:dyDescent="0.25">
      <c r="A31" s="53"/>
      <c r="B31" s="53"/>
      <c r="C31" s="16"/>
      <c r="D31" s="15"/>
      <c r="E31" s="15"/>
      <c r="F31" s="16" t="s">
        <v>2428</v>
      </c>
      <c r="G31" s="222"/>
      <c r="H31" s="39"/>
      <c r="I31" s="16"/>
      <c r="J31" s="16"/>
      <c r="K31" s="16"/>
      <c r="L31" s="55">
        <f>K19</f>
        <v>21750720</v>
      </c>
      <c r="M31" s="16" t="s">
        <v>2393</v>
      </c>
      <c r="N31" s="222" t="e">
        <f>(L31-K31)/K31</f>
        <v>#DIV/0!</v>
      </c>
      <c r="O31" s="16"/>
      <c r="P31" s="16"/>
      <c r="Q31" s="16"/>
      <c r="R31" s="16"/>
      <c r="S31" s="16"/>
      <c r="T31" s="16"/>
      <c r="U31" s="16"/>
      <c r="V31" s="16"/>
      <c r="W31" s="16"/>
    </row>
    <row r="32" spans="1:23" x14ac:dyDescent="0.25">
      <c r="A32" s="53"/>
      <c r="B32" s="53"/>
      <c r="C32" s="60"/>
      <c r="D32" s="15"/>
      <c r="E32" s="15"/>
      <c r="F32" s="16"/>
      <c r="G32" s="16"/>
      <c r="H32" s="39"/>
      <c r="I32" s="16"/>
      <c r="J32" s="16"/>
      <c r="K32" s="224"/>
      <c r="L32" s="55">
        <f>K24</f>
        <v>15300</v>
      </c>
      <c r="M32" s="16" t="s">
        <v>2394</v>
      </c>
      <c r="N32" s="222" t="e">
        <f>(L32-K32)/K32</f>
        <v>#DIV/0!</v>
      </c>
      <c r="O32" s="16"/>
      <c r="P32" s="16"/>
      <c r="Q32" s="16"/>
      <c r="R32" s="16"/>
      <c r="S32" s="16"/>
      <c r="T32" s="16"/>
      <c r="U32" s="16"/>
      <c r="V32" s="16"/>
      <c r="W32" s="16"/>
    </row>
    <row r="33" spans="1:34" x14ac:dyDescent="0.25">
      <c r="A33" s="53"/>
      <c r="B33" s="53"/>
      <c r="C33" s="60"/>
      <c r="D33" s="15"/>
      <c r="E33" s="15"/>
      <c r="F33" s="16"/>
      <c r="G33" s="16"/>
      <c r="H33" s="39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34" x14ac:dyDescent="0.25">
      <c r="A34" s="53"/>
      <c r="B34" s="53"/>
      <c r="C34" s="60"/>
      <c r="D34" s="15"/>
      <c r="E34" s="15"/>
      <c r="F34" s="16"/>
      <c r="G34" s="16"/>
      <c r="H34" s="39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34" x14ac:dyDescent="0.25">
      <c r="A35" s="53"/>
      <c r="B35" s="53"/>
      <c r="C35" s="60"/>
      <c r="D35" s="15"/>
      <c r="E35" s="15"/>
      <c r="F35" s="16"/>
      <c r="G35" s="16"/>
      <c r="H35" s="39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34" x14ac:dyDescent="0.25">
      <c r="A36" s="53"/>
      <c r="B36" s="53"/>
      <c r="C36" s="63"/>
      <c r="D36" s="15"/>
      <c r="E36" s="15"/>
      <c r="F36" s="16"/>
      <c r="G36" s="222"/>
      <c r="H36" s="39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34" ht="15.75" x14ac:dyDescent="0.25">
      <c r="A37" s="256"/>
      <c r="B37" s="256"/>
      <c r="C37" s="60"/>
      <c r="D37" s="16"/>
      <c r="E37" s="16"/>
      <c r="F37" s="16"/>
      <c r="G37" s="16"/>
      <c r="H37" s="39"/>
      <c r="I37" s="64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34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6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AF38" t="s">
        <v>86</v>
      </c>
      <c r="AH38">
        <v>1</v>
      </c>
    </row>
    <row r="39" spans="1:34" x14ac:dyDescent="0.25">
      <c r="A39" s="16"/>
      <c r="B39" s="16"/>
      <c r="C39" s="16"/>
      <c r="D39" s="16"/>
      <c r="E39" s="16"/>
      <c r="F39" s="16"/>
      <c r="G39" s="16"/>
      <c r="H39" s="16"/>
      <c r="J39" s="6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AF39" t="s">
        <v>87</v>
      </c>
      <c r="AH39">
        <v>1.19</v>
      </c>
    </row>
    <row r="40" spans="1:34" ht="15.75" x14ac:dyDescent="0.25">
      <c r="A40" s="256"/>
      <c r="B40" s="256"/>
      <c r="C40" s="16"/>
      <c r="D40" s="16"/>
      <c r="E40" s="16"/>
      <c r="F40" s="16"/>
      <c r="G40" s="16"/>
      <c r="H40" s="16"/>
      <c r="I40" s="16"/>
      <c r="J40" s="6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34" x14ac:dyDescent="0.25">
      <c r="A41" s="257"/>
      <c r="B41" s="257"/>
      <c r="C41" s="16"/>
      <c r="D41" s="16"/>
      <c r="E41" s="16"/>
      <c r="F41" s="16"/>
      <c r="G41" s="16"/>
      <c r="H41" s="16"/>
      <c r="I41" s="16"/>
      <c r="J41" s="6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34" x14ac:dyDescent="0.25">
      <c r="A42" s="16"/>
      <c r="B42" s="16"/>
      <c r="C42" s="15"/>
      <c r="D42" s="16"/>
      <c r="E42" s="16"/>
      <c r="F42" s="16"/>
      <c r="G42" s="16"/>
      <c r="H42" s="39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34" x14ac:dyDescent="0.25">
      <c r="A43" s="16"/>
      <c r="B43" s="16"/>
      <c r="C43" s="16"/>
      <c r="D43" s="16"/>
      <c r="E43" s="16"/>
      <c r="F43" s="16"/>
      <c r="G43" s="16"/>
      <c r="H43" s="39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34" ht="37.700000000000003" customHeight="1" x14ac:dyDescent="0.25">
      <c r="A44" s="258"/>
      <c r="B44" s="258"/>
      <c r="C44" s="16"/>
      <c r="D44" s="16"/>
      <c r="E44" s="16"/>
      <c r="F44" s="16"/>
      <c r="G44" s="16"/>
      <c r="H44" s="39"/>
      <c r="I44" s="64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34" x14ac:dyDescent="0.25">
      <c r="A45" s="16"/>
      <c r="B45" s="16"/>
      <c r="C45" s="16"/>
      <c r="D45" s="16"/>
      <c r="E45" s="16"/>
      <c r="F45" s="16"/>
      <c r="G45" s="16"/>
      <c r="H45" s="3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34" ht="32.25" customHeight="1" x14ac:dyDescent="0.25">
      <c r="A46" s="16"/>
      <c r="B46" s="16"/>
      <c r="C46" s="16"/>
      <c r="D46" s="16"/>
      <c r="E46" s="16"/>
      <c r="F46" s="16"/>
      <c r="G46" s="16"/>
      <c r="H46" s="39"/>
      <c r="I46" s="16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34" x14ac:dyDescent="0.25">
      <c r="A47" s="16"/>
      <c r="B47" s="16"/>
      <c r="C47" s="16"/>
      <c r="D47" s="16"/>
      <c r="E47" s="16"/>
      <c r="F47" s="16"/>
      <c r="G47" s="16"/>
      <c r="H47" s="39"/>
      <c r="I47" s="16"/>
      <c r="J47" s="1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34" x14ac:dyDescent="0.25">
      <c r="A48" s="16"/>
      <c r="B48" s="16"/>
      <c r="C48" s="16"/>
      <c r="D48" s="16"/>
      <c r="E48" s="16"/>
      <c r="F48" s="16"/>
      <c r="G48" s="16"/>
      <c r="H48" s="39"/>
      <c r="I48" s="16"/>
      <c r="J48" s="1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x14ac:dyDescent="0.25">
      <c r="A49" s="16"/>
      <c r="B49" s="16"/>
      <c r="C49" s="16"/>
      <c r="D49" s="16"/>
      <c r="E49" s="16"/>
      <c r="F49" s="16"/>
      <c r="G49" s="16"/>
      <c r="H49" s="39"/>
      <c r="I49" s="16"/>
      <c r="J49" s="1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6.5" customHeight="1" thickBot="1" x14ac:dyDescent="0.3">
      <c r="A50" s="67"/>
      <c r="B50" s="67"/>
      <c r="C50" s="67"/>
      <c r="D50" s="16"/>
      <c r="E50" s="16"/>
      <c r="F50" s="16"/>
      <c r="G50" s="16"/>
      <c r="H50" s="68"/>
      <c r="I50" s="16"/>
      <c r="J50" s="1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.75" thickTop="1" x14ac:dyDescent="0.25">
      <c r="A51" s="16"/>
      <c r="B51" s="16"/>
      <c r="C51" s="16"/>
      <c r="H51" s="16"/>
      <c r="I51" s="16"/>
      <c r="J51" s="1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x14ac:dyDescent="0.25">
      <c r="A52" s="16"/>
      <c r="B52" s="16"/>
      <c r="C52" s="15"/>
      <c r="H52" s="16"/>
      <c r="I52" s="16"/>
      <c r="J52" s="1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x14ac:dyDescent="0.25">
      <c r="A53" s="16"/>
      <c r="B53" s="16"/>
      <c r="C53" s="15"/>
      <c r="H53" s="16"/>
      <c r="I53" s="16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x14ac:dyDescent="0.25">
      <c r="A54" s="16"/>
      <c r="B54" s="16"/>
      <c r="C54" s="16"/>
      <c r="H54" s="16"/>
      <c r="I54" s="16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x14ac:dyDescent="0.25">
      <c r="A55" s="16"/>
      <c r="B55" s="16"/>
      <c r="C55" s="16"/>
      <c r="H55" s="16"/>
      <c r="I55" s="16"/>
      <c r="J55" s="1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x14ac:dyDescent="0.25">
      <c r="A56" s="16"/>
      <c r="B56" s="16"/>
      <c r="C56" s="16"/>
      <c r="H56" s="16"/>
      <c r="I56" s="16"/>
      <c r="J56" s="1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x14ac:dyDescent="0.25">
      <c r="A57" s="16"/>
      <c r="B57" s="16"/>
      <c r="C57" s="16"/>
      <c r="H57" s="16"/>
      <c r="I57" s="16"/>
      <c r="J57" s="1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x14ac:dyDescent="0.25">
      <c r="A58" s="16"/>
      <c r="B58" s="16"/>
      <c r="C58" s="16"/>
      <c r="H58" s="16"/>
      <c r="I58" s="16"/>
      <c r="J58" s="1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x14ac:dyDescent="0.25">
      <c r="A59" s="16"/>
      <c r="B59" s="16"/>
      <c r="C59" s="16"/>
      <c r="H59" s="16"/>
      <c r="I59" s="16"/>
      <c r="J59" s="1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x14ac:dyDescent="0.25">
      <c r="A60" s="16"/>
      <c r="B60" s="16"/>
      <c r="C60" s="16"/>
      <c r="H60" s="16"/>
      <c r="I60" s="16"/>
      <c r="J60" s="1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x14ac:dyDescent="0.25">
      <c r="A61" s="16"/>
      <c r="B61" s="16"/>
      <c r="C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x14ac:dyDescent="0.25">
      <c r="A62" s="16"/>
      <c r="B62" s="16"/>
      <c r="C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x14ac:dyDescent="0.25">
      <c r="A63" s="16"/>
      <c r="B63" s="16"/>
      <c r="C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x14ac:dyDescent="0.25">
      <c r="A64" s="16"/>
      <c r="B64" s="16"/>
      <c r="C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x14ac:dyDescent="0.25">
      <c r="A65" s="16"/>
      <c r="B65" s="16"/>
      <c r="C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x14ac:dyDescent="0.25">
      <c r="A66" s="16"/>
      <c r="B66" s="16"/>
      <c r="C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x14ac:dyDescent="0.25">
      <c r="A67" s="16"/>
      <c r="B67" s="16"/>
      <c r="C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x14ac:dyDescent="0.25">
      <c r="A68" s="16"/>
      <c r="B68" s="16"/>
      <c r="C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x14ac:dyDescent="0.25">
      <c r="A69" s="16"/>
      <c r="B69" s="16"/>
      <c r="C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x14ac:dyDescent="0.25">
      <c r="A70" s="16"/>
      <c r="B70" s="16"/>
      <c r="C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x14ac:dyDescent="0.25">
      <c r="A71" s="16"/>
      <c r="B71" s="16"/>
      <c r="C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x14ac:dyDescent="0.25">
      <c r="A72" s="16"/>
      <c r="B72" s="16"/>
      <c r="C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x14ac:dyDescent="0.25">
      <c r="A73" s="16"/>
      <c r="B73" s="16"/>
      <c r="C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x14ac:dyDescent="0.25">
      <c r="A74" s="16"/>
      <c r="B74" s="16"/>
      <c r="C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.75" thickBot="1" x14ac:dyDescent="0.3">
      <c r="A75" s="16"/>
      <c r="B75" s="16"/>
      <c r="C75" s="16"/>
      <c r="H75" s="16"/>
    </row>
    <row r="76" spans="1:23" ht="15.75" thickBot="1" x14ac:dyDescent="0.3">
      <c r="A76" s="16"/>
      <c r="B76" s="16"/>
      <c r="C76" s="69" t="s">
        <v>88</v>
      </c>
      <c r="H76" s="16"/>
    </row>
    <row r="77" spans="1:23" ht="15.75" thickBot="1" x14ac:dyDescent="0.3">
      <c r="A77" s="16"/>
      <c r="B77" s="16"/>
      <c r="C77" s="70" t="e">
        <f>(G24+#REF!+#REF!+#REF!)/#REF!</f>
        <v>#REF!</v>
      </c>
      <c r="H77" s="16"/>
    </row>
  </sheetData>
  <mergeCells count="30">
    <mergeCell ref="A37:B37"/>
    <mergeCell ref="A40:B40"/>
    <mergeCell ref="A41:B41"/>
    <mergeCell ref="A44:B44"/>
    <mergeCell ref="E15:F15"/>
    <mergeCell ref="E16:F16"/>
    <mergeCell ref="D19:F19"/>
    <mergeCell ref="D24:E24"/>
    <mergeCell ref="E17:F17"/>
    <mergeCell ref="E18:F18"/>
    <mergeCell ref="D21:E21"/>
    <mergeCell ref="D25:F25"/>
    <mergeCell ref="D23:F23"/>
    <mergeCell ref="D27:F27"/>
    <mergeCell ref="D28:F28"/>
    <mergeCell ref="D26:F26"/>
    <mergeCell ref="E11:F11"/>
    <mergeCell ref="E12:F12"/>
    <mergeCell ref="E13:F13"/>
    <mergeCell ref="E14:F14"/>
    <mergeCell ref="E6:F6"/>
    <mergeCell ref="E9:F9"/>
    <mergeCell ref="E10:F10"/>
    <mergeCell ref="E8:F8"/>
    <mergeCell ref="E7:F7"/>
    <mergeCell ref="A2:D3"/>
    <mergeCell ref="E2:F2"/>
    <mergeCell ref="E3:F3"/>
    <mergeCell ref="E4:F4"/>
    <mergeCell ref="E5:F5"/>
  </mergeCells>
  <conditionalFormatting sqref="B5:B17 A17 A18:B18">
    <cfRule type="expression" dxfId="1" priority="1">
      <formula>P5</formula>
    </cfRule>
  </conditionalFormatting>
  <conditionalFormatting sqref="C5:C18">
    <cfRule type="expression" dxfId="0" priority="5">
      <formula>Q5</formula>
    </cfRule>
  </conditionalFormatting>
  <dataValidations count="2">
    <dataValidation type="list" allowBlank="1" showInputMessage="1" showErrorMessage="1" sqref="AF38:AF39 A41:B41" xr:uid="{00000000-0002-0000-0100-000001000000}">
      <formula1>$AF$41:$AF$42</formula1>
      <formula2>0</formula2>
    </dataValidation>
    <dataValidation type="list" allowBlank="1" showInputMessage="1" showErrorMessage="1" sqref="A17:A18 B5:B18" xr:uid="{00000000-0002-0000-0100-000000000000}">
      <formula1>INDIRECT(XFD5)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3000000}">
          <x14:formula1>
            <xm:f>'P. PARTES'!$A$609:$A$619</xm:f>
          </x14:formula1>
          <x14:formula2>
            <xm:f>0</xm:f>
          </x14:formula2>
          <xm:sqref>A13:A16</xm:sqref>
        </x14:dataValidation>
        <x14:dataValidation type="list" allowBlank="1" showInputMessage="1" showErrorMessage="1" xr:uid="{00000000-0002-0000-0100-000002000000}">
          <x14:formula1>
            <xm:f>'P. PARTES'!$A$610:$A$619</xm:f>
          </x14:formula1>
          <x14:formula2>
            <xm:f>0</xm:f>
          </x14:formula2>
          <xm:sqref>A5:A12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39AB-C469-4A43-81D0-E597C5B2DAAF}">
  <dimension ref="A1:I15"/>
  <sheetViews>
    <sheetView workbookViewId="0">
      <selection activeCell="J18" sqref="J18"/>
    </sheetView>
  </sheetViews>
  <sheetFormatPr baseColWidth="10" defaultRowHeight="15" x14ac:dyDescent="0.25"/>
  <cols>
    <col min="1" max="1" width="18" bestFit="1" customWidth="1"/>
    <col min="2" max="2" width="14.28515625" bestFit="1" customWidth="1"/>
    <col min="4" max="4" width="12.42578125" bestFit="1" customWidth="1"/>
    <col min="8" max="8" width="14.28515625" bestFit="1" customWidth="1"/>
    <col min="9" max="9" width="11.7109375" bestFit="1" customWidth="1"/>
  </cols>
  <sheetData>
    <row r="1" spans="1:9" x14ac:dyDescent="0.25">
      <c r="A1" t="s">
        <v>2398</v>
      </c>
    </row>
    <row r="2" spans="1:9" x14ac:dyDescent="0.25">
      <c r="B2" t="s">
        <v>2400</v>
      </c>
      <c r="C2" t="s">
        <v>2404</v>
      </c>
      <c r="D2" t="s">
        <v>2401</v>
      </c>
      <c r="E2" t="s">
        <v>2411</v>
      </c>
      <c r="F2" t="s">
        <v>2402</v>
      </c>
      <c r="G2" t="s">
        <v>2403</v>
      </c>
      <c r="H2" s="110" t="s">
        <v>2414</v>
      </c>
      <c r="I2" s="235">
        <v>35000</v>
      </c>
    </row>
    <row r="3" spans="1:9" x14ac:dyDescent="0.25">
      <c r="A3" t="s">
        <v>2399</v>
      </c>
      <c r="B3" t="s">
        <v>2405</v>
      </c>
      <c r="C3" s="232">
        <f>(106/1000*160/1000)</f>
        <v>1.6959999999999999E-2</v>
      </c>
      <c r="D3" s="110">
        <v>2</v>
      </c>
      <c r="E3" s="233">
        <f>D3*C3</f>
        <v>3.3919999999999999E-2</v>
      </c>
      <c r="F3" s="110" t="s">
        <v>2410</v>
      </c>
    </row>
    <row r="4" spans="1:9" x14ac:dyDescent="0.25">
      <c r="B4" t="s">
        <v>2406</v>
      </c>
      <c r="C4" s="232">
        <f>91/1000*300/1000</f>
        <v>2.7300000000000001E-2</v>
      </c>
      <c r="D4" s="110">
        <v>4</v>
      </c>
      <c r="E4" s="110">
        <f t="shared" ref="E4:E7" si="0">D4*C4</f>
        <v>0.10920000000000001</v>
      </c>
      <c r="F4" s="110" t="s">
        <v>2410</v>
      </c>
    </row>
    <row r="5" spans="1:9" x14ac:dyDescent="0.25">
      <c r="B5" t="s">
        <v>2407</v>
      </c>
      <c r="C5" s="232">
        <f>(300/1000*182/1000)</f>
        <v>5.4600000000000003E-2</v>
      </c>
      <c r="D5" s="110">
        <v>2</v>
      </c>
      <c r="E5" s="110">
        <f t="shared" si="0"/>
        <v>0.10920000000000001</v>
      </c>
      <c r="F5" s="110" t="s">
        <v>2410</v>
      </c>
    </row>
    <row r="6" spans="1:9" x14ac:dyDescent="0.25">
      <c r="B6" t="s">
        <v>2408</v>
      </c>
      <c r="C6" s="232">
        <f>(530/1000*24/1000)</f>
        <v>1.272E-2</v>
      </c>
      <c r="D6" s="110">
        <v>2</v>
      </c>
      <c r="E6" s="233">
        <f t="shared" si="0"/>
        <v>2.5440000000000001E-2</v>
      </c>
      <c r="F6" s="110" t="s">
        <v>2410</v>
      </c>
    </row>
    <row r="7" spans="1:9" x14ac:dyDescent="0.25">
      <c r="B7" t="s">
        <v>2409</v>
      </c>
      <c r="C7" s="110">
        <f>(770/1000*270/1000)</f>
        <v>0.2079</v>
      </c>
      <c r="D7" s="110">
        <v>2</v>
      </c>
      <c r="E7" s="110">
        <f t="shared" si="0"/>
        <v>0.4158</v>
      </c>
      <c r="F7" s="110" t="s">
        <v>2410</v>
      </c>
    </row>
    <row r="8" spans="1:9" x14ac:dyDescent="0.25">
      <c r="D8" t="s">
        <v>2412</v>
      </c>
      <c r="E8" s="234">
        <f>SUM(E3:E7)</f>
        <v>0.69355999999999995</v>
      </c>
      <c r="F8" s="110" t="s">
        <v>2410</v>
      </c>
    </row>
    <row r="9" spans="1:9" x14ac:dyDescent="0.25">
      <c r="D9" t="s">
        <v>2413</v>
      </c>
      <c r="G9" s="110">
        <v>44.35</v>
      </c>
    </row>
    <row r="10" spans="1:9" x14ac:dyDescent="0.25">
      <c r="D10" t="s">
        <v>2415</v>
      </c>
      <c r="H10" s="236">
        <f>I2*G9</f>
        <v>1552250</v>
      </c>
    </row>
    <row r="13" spans="1:9" x14ac:dyDescent="0.25">
      <c r="A13" t="s">
        <v>2416</v>
      </c>
      <c r="B13" s="235">
        <v>990000</v>
      </c>
    </row>
    <row r="15" spans="1:9" x14ac:dyDescent="0.25">
      <c r="A15" t="s">
        <v>2417</v>
      </c>
      <c r="B15" s="236">
        <f>H10+B13</f>
        <v>2542250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opLeftCell="B1" zoomScale="85" zoomScaleNormal="85" workbookViewId="0">
      <selection activeCell="J8" sqref="J8"/>
    </sheetView>
  </sheetViews>
  <sheetFormatPr baseColWidth="10" defaultColWidth="9.140625" defaultRowHeight="15" x14ac:dyDescent="0.25"/>
  <cols>
    <col min="1" max="1" width="41.28515625" customWidth="1"/>
    <col min="2" max="2" width="11.42578125"/>
    <col min="3" max="4" width="9.140625" customWidth="1"/>
    <col min="5" max="5" width="38.42578125" customWidth="1"/>
    <col min="6" max="6" width="11.42578125"/>
    <col min="7" max="8" width="9.140625" customWidth="1"/>
    <col min="9" max="9" width="40.28515625" customWidth="1"/>
    <col min="10" max="10" width="11.42578125"/>
    <col min="11" max="1025" width="9.140625" customWidth="1"/>
  </cols>
  <sheetData>
    <row r="1" spans="1:11" x14ac:dyDescent="0.25">
      <c r="A1" s="279" t="s">
        <v>89</v>
      </c>
      <c r="B1" s="279"/>
      <c r="C1" s="279"/>
      <c r="E1" s="279" t="s">
        <v>90</v>
      </c>
      <c r="F1" s="279"/>
      <c r="G1" s="279"/>
      <c r="I1" s="279" t="s">
        <v>91</v>
      </c>
      <c r="J1" s="279"/>
      <c r="K1" s="279"/>
    </row>
    <row r="2" spans="1:11" x14ac:dyDescent="0.25">
      <c r="A2" s="72" t="s">
        <v>92</v>
      </c>
      <c r="B2" s="72" t="s">
        <v>93</v>
      </c>
      <c r="C2" s="73" t="s">
        <v>94</v>
      </c>
      <c r="E2" s="71" t="s">
        <v>92</v>
      </c>
      <c r="F2" s="71" t="s">
        <v>93</v>
      </c>
      <c r="G2" s="73" t="s">
        <v>94</v>
      </c>
      <c r="I2" s="71" t="s">
        <v>92</v>
      </c>
      <c r="J2" s="71" t="s">
        <v>93</v>
      </c>
      <c r="K2" s="73" t="s">
        <v>94</v>
      </c>
    </row>
    <row r="3" spans="1:11" x14ac:dyDescent="0.25">
      <c r="A3" s="74" t="s">
        <v>95</v>
      </c>
      <c r="B3" s="75">
        <f>INSUMOS!B524</f>
        <v>850000</v>
      </c>
      <c r="C3" s="76">
        <f>INSUMOS!E524</f>
        <v>9</v>
      </c>
      <c r="E3" s="74" t="s">
        <v>96</v>
      </c>
      <c r="F3" s="75">
        <f>INSUMOS!B526</f>
        <v>1400000</v>
      </c>
      <c r="G3" s="76">
        <f>INSUMOS!E527</f>
        <v>29</v>
      </c>
      <c r="I3" s="74" t="s">
        <v>97</v>
      </c>
      <c r="J3" s="75">
        <f>INSUMOS!B529</f>
        <v>2260000</v>
      </c>
      <c r="K3" s="76">
        <f>INSUMOS!E529</f>
        <v>87</v>
      </c>
    </row>
    <row r="4" spans="1:11" x14ac:dyDescent="0.25">
      <c r="A4" s="77" t="s">
        <v>98</v>
      </c>
      <c r="B4" s="78">
        <f>INSUMOS!B112</f>
        <v>96000</v>
      </c>
      <c r="C4" s="79">
        <f>INSUMOS!E112</f>
        <v>2.1982747499999995</v>
      </c>
      <c r="E4" s="77" t="s">
        <v>98</v>
      </c>
      <c r="F4" s="78">
        <f>INSUMOS!B112</f>
        <v>96000</v>
      </c>
      <c r="G4" s="79">
        <f>INSUMOS!E112</f>
        <v>2.1982747499999995</v>
      </c>
      <c r="I4" s="77" t="s">
        <v>99</v>
      </c>
      <c r="J4" s="78">
        <f>INSUMOS!B117</f>
        <v>115000</v>
      </c>
      <c r="K4" s="79">
        <f>INSUMOS!E117</f>
        <v>6.1063187499999998</v>
      </c>
    </row>
    <row r="5" spans="1:11" x14ac:dyDescent="0.25">
      <c r="A5" s="77" t="s">
        <v>100</v>
      </c>
      <c r="B5" s="78">
        <f>EJXA!D5</f>
        <v>85350</v>
      </c>
      <c r="C5" s="79">
        <f>EJXA!E5</f>
        <v>2.5854749120949823</v>
      </c>
      <c r="E5" s="77" t="s">
        <v>101</v>
      </c>
      <c r="F5" s="78">
        <f>EJXA!D33</f>
        <v>323400</v>
      </c>
      <c r="G5" s="79">
        <f>EJXA!E33</f>
        <v>25.456983749858285</v>
      </c>
      <c r="I5" s="77" t="s">
        <v>102</v>
      </c>
      <c r="J5" s="78">
        <f>EJXC!D6</f>
        <v>1711923</v>
      </c>
      <c r="K5" s="79">
        <f>EJXC!E6</f>
        <v>32.049999999999997</v>
      </c>
    </row>
    <row r="6" spans="1:11" x14ac:dyDescent="0.25">
      <c r="A6" s="77" t="s">
        <v>103</v>
      </c>
      <c r="B6" s="78">
        <f>AD!D5</f>
        <v>197400</v>
      </c>
      <c r="C6" s="79">
        <f>AD!E5</f>
        <v>1.7899441699119105</v>
      </c>
      <c r="E6" s="77" t="s">
        <v>104</v>
      </c>
      <c r="F6" s="78">
        <f>AD!D25</f>
        <v>358200</v>
      </c>
      <c r="G6" s="79">
        <f>AD!E39</f>
        <v>7.1597766796476421</v>
      </c>
      <c r="I6" s="77" t="s">
        <v>105</v>
      </c>
      <c r="J6" s="78">
        <f>AB!D27</f>
        <v>546265</v>
      </c>
      <c r="K6" s="79">
        <f>AB!E27</f>
        <v>9.0468715907973944</v>
      </c>
    </row>
    <row r="7" spans="1:11" x14ac:dyDescent="0.25">
      <c r="A7" s="77" t="s">
        <v>106</v>
      </c>
      <c r="B7" s="78">
        <f>P!D8</f>
        <v>391250</v>
      </c>
      <c r="C7" s="79">
        <f>P!E8</f>
        <v>2.3124581274339331</v>
      </c>
      <c r="E7" s="77" t="s">
        <v>107</v>
      </c>
      <c r="F7" s="78">
        <f>P!D128</f>
        <v>779150</v>
      </c>
      <c r="G7" s="79">
        <f>P!E128</f>
        <v>21.999832509735732</v>
      </c>
      <c r="I7" s="77" t="s">
        <v>108</v>
      </c>
      <c r="J7" s="78">
        <f>P!D157</f>
        <v>770000</v>
      </c>
      <c r="K7" s="79">
        <f>P!E157</f>
        <v>22.63</v>
      </c>
    </row>
    <row r="8" spans="1:11" x14ac:dyDescent="0.25">
      <c r="A8" s="77" t="s">
        <v>109</v>
      </c>
      <c r="B8" s="78">
        <f>INSUMOS!B537</f>
        <v>50000</v>
      </c>
      <c r="C8" s="80"/>
      <c r="E8" s="77" t="s">
        <v>109</v>
      </c>
      <c r="F8" s="78">
        <f>INSUMOS!B537</f>
        <v>50000</v>
      </c>
      <c r="G8" s="80"/>
      <c r="I8" s="77" t="s">
        <v>109</v>
      </c>
      <c r="J8" s="78">
        <f>INSUMOS!B537</f>
        <v>50000</v>
      </c>
      <c r="K8" s="80"/>
    </row>
    <row r="9" spans="1:11" x14ac:dyDescent="0.25">
      <c r="A9" s="77" t="s">
        <v>110</v>
      </c>
      <c r="B9" s="78">
        <f>INSUMOS!B534</f>
        <v>50000</v>
      </c>
      <c r="C9" s="81">
        <f>INSUMOS!E534</f>
        <v>3</v>
      </c>
      <c r="E9" s="77" t="s">
        <v>111</v>
      </c>
      <c r="F9" s="78">
        <f>INSUMOS!B535</f>
        <v>80000</v>
      </c>
      <c r="G9" s="81">
        <f>INSUMOS!E535</f>
        <v>5</v>
      </c>
      <c r="I9" s="77" t="s">
        <v>111</v>
      </c>
      <c r="J9" s="78">
        <f>INSUMOS!B535</f>
        <v>80000</v>
      </c>
      <c r="K9" s="81">
        <f>INSUMOS!E535</f>
        <v>5</v>
      </c>
    </row>
    <row r="10" spans="1:11" x14ac:dyDescent="0.25">
      <c r="A10" s="82" t="s">
        <v>112</v>
      </c>
      <c r="B10" s="83">
        <f>SUM(B3:B9)</f>
        <v>1720000</v>
      </c>
      <c r="C10" s="84">
        <f>SUM(C3:C9)</f>
        <v>20.886151959440824</v>
      </c>
      <c r="E10" s="82" t="s">
        <v>112</v>
      </c>
      <c r="F10" s="83">
        <f>SUM(F3:F9)</f>
        <v>3086750</v>
      </c>
      <c r="G10" s="84">
        <f>SUM(G3:G9)</f>
        <v>90.814867689241652</v>
      </c>
      <c r="I10" s="82" t="s">
        <v>112</v>
      </c>
      <c r="J10" s="83">
        <f>SUM(J3:J9)</f>
        <v>5533188</v>
      </c>
      <c r="K10" s="84">
        <f>SUM(K3:K9)</f>
        <v>161.83319034079739</v>
      </c>
    </row>
    <row r="12" spans="1:11" x14ac:dyDescent="0.25">
      <c r="A12" s="279" t="s">
        <v>113</v>
      </c>
      <c r="B12" s="279"/>
      <c r="C12" s="279"/>
      <c r="E12" s="279" t="s">
        <v>114</v>
      </c>
      <c r="F12" s="279"/>
      <c r="G12" s="279"/>
      <c r="I12" s="279" t="s">
        <v>115</v>
      </c>
      <c r="J12" s="279"/>
      <c r="K12" s="279"/>
    </row>
    <row r="13" spans="1:11" x14ac:dyDescent="0.25">
      <c r="A13" s="71" t="s">
        <v>92</v>
      </c>
      <c r="B13" s="71" t="s">
        <v>93</v>
      </c>
      <c r="C13" s="73" t="s">
        <v>94</v>
      </c>
      <c r="E13" s="71" t="s">
        <v>92</v>
      </c>
      <c r="F13" s="71" t="s">
        <v>93</v>
      </c>
      <c r="G13" s="73" t="s">
        <v>94</v>
      </c>
      <c r="I13" s="71" t="s">
        <v>92</v>
      </c>
      <c r="J13" s="71" t="s">
        <v>93</v>
      </c>
      <c r="K13" s="73" t="s">
        <v>94</v>
      </c>
    </row>
    <row r="14" spans="1:11" x14ac:dyDescent="0.25">
      <c r="A14" s="74" t="s">
        <v>95</v>
      </c>
      <c r="B14" s="75">
        <f>INSUMOS!B524</f>
        <v>850000</v>
      </c>
      <c r="C14" s="76">
        <f>INSUMOS!E524</f>
        <v>9</v>
      </c>
      <c r="E14" s="74" t="s">
        <v>116</v>
      </c>
      <c r="F14" s="75">
        <f>INSUMOS!B527</f>
        <v>1410000</v>
      </c>
      <c r="G14" s="76">
        <f>INSUMOS!E526</f>
        <v>29</v>
      </c>
      <c r="I14" s="74" t="s">
        <v>117</v>
      </c>
      <c r="J14" s="75">
        <f>INSUMOS!B529</f>
        <v>2260000</v>
      </c>
      <c r="K14" s="76">
        <f>INSUMOS!E529</f>
        <v>87</v>
      </c>
    </row>
    <row r="15" spans="1:11" x14ac:dyDescent="0.25">
      <c r="A15" s="77" t="s">
        <v>98</v>
      </c>
      <c r="B15" s="78">
        <f>INSUMOS!B112</f>
        <v>96000</v>
      </c>
      <c r="C15" s="79">
        <f>INSUMOS!E112</f>
        <v>2.1982747499999995</v>
      </c>
      <c r="E15" s="77" t="s">
        <v>98</v>
      </c>
      <c r="F15" s="78">
        <f>INSUMOS!B112</f>
        <v>96000</v>
      </c>
      <c r="G15" s="79">
        <f>INSUMOS!E112</f>
        <v>2.1982747499999995</v>
      </c>
      <c r="I15" s="77" t="s">
        <v>99</v>
      </c>
      <c r="J15" s="78">
        <f>INSUMOS!B117</f>
        <v>115000</v>
      </c>
      <c r="K15" s="79">
        <f>INSUMOS!E117</f>
        <v>6.1063187499999998</v>
      </c>
    </row>
    <row r="16" spans="1:11" x14ac:dyDescent="0.25">
      <c r="A16" s="77" t="s">
        <v>118</v>
      </c>
      <c r="B16" s="78">
        <f>EJXA!D12</f>
        <v>95100</v>
      </c>
      <c r="C16" s="79">
        <f>EJXA!E12</f>
        <v>3.5798883398238215</v>
      </c>
      <c r="E16" s="77" t="s">
        <v>119</v>
      </c>
      <c r="F16" s="78">
        <f>EJXA!D46</f>
        <v>354200</v>
      </c>
      <c r="G16" s="79">
        <f>EJXA!E46</f>
        <v>28.639106718590572</v>
      </c>
      <c r="I16" s="77" t="s">
        <v>102</v>
      </c>
      <c r="J16" s="78">
        <f>EJXC!D6</f>
        <v>1711923</v>
      </c>
      <c r="K16" s="79">
        <f>EJXC!E6</f>
        <v>32.049999999999997</v>
      </c>
    </row>
    <row r="17" spans="1:11" x14ac:dyDescent="0.25">
      <c r="A17" s="77" t="s">
        <v>103</v>
      </c>
      <c r="B17" s="78">
        <f>AD!D5</f>
        <v>197400</v>
      </c>
      <c r="C17" s="79">
        <f>AD!E5</f>
        <v>1.7899441699119105</v>
      </c>
      <c r="E17" s="77" t="s">
        <v>104</v>
      </c>
      <c r="F17" s="78">
        <f>AD!D25</f>
        <v>358200</v>
      </c>
      <c r="G17" s="79">
        <f>AD!E39</f>
        <v>7.1597766796476421</v>
      </c>
      <c r="I17" s="77" t="s">
        <v>105</v>
      </c>
      <c r="J17" s="78">
        <f>AB!D27</f>
        <v>546265</v>
      </c>
      <c r="K17" s="79">
        <f>AB!E27</f>
        <v>9.0468715907973944</v>
      </c>
    </row>
    <row r="18" spans="1:11" x14ac:dyDescent="0.25">
      <c r="A18" s="77" t="s">
        <v>120</v>
      </c>
      <c r="B18" s="78">
        <f>P!D18</f>
        <v>441250</v>
      </c>
      <c r="C18" s="79">
        <f>P!E18</f>
        <v>4.2524581274339326</v>
      </c>
      <c r="E18" s="77" t="s">
        <v>107</v>
      </c>
      <c r="F18" s="78">
        <f>P!D128</f>
        <v>779150</v>
      </c>
      <c r="G18" s="79">
        <f>P!E128</f>
        <v>21.999832509735732</v>
      </c>
      <c r="I18" s="77" t="s">
        <v>121</v>
      </c>
      <c r="J18" s="78">
        <f>P!D166</f>
        <v>850000</v>
      </c>
      <c r="K18" s="79">
        <f>P!E166</f>
        <v>30</v>
      </c>
    </row>
    <row r="19" spans="1:11" x14ac:dyDescent="0.25">
      <c r="A19" s="77" t="s">
        <v>109</v>
      </c>
      <c r="B19" s="78">
        <f>INSUMOS!B537</f>
        <v>50000</v>
      </c>
      <c r="C19" s="80"/>
      <c r="E19" s="77" t="s">
        <v>109</v>
      </c>
      <c r="F19" s="78">
        <f>INSUMOS!B537</f>
        <v>50000</v>
      </c>
      <c r="G19" s="80"/>
      <c r="I19" s="77" t="s">
        <v>109</v>
      </c>
      <c r="J19" s="78">
        <f>INSUMOS!B537</f>
        <v>50000</v>
      </c>
      <c r="K19" s="80"/>
    </row>
    <row r="20" spans="1:11" x14ac:dyDescent="0.25">
      <c r="A20" s="77" t="s">
        <v>110</v>
      </c>
      <c r="B20" s="78">
        <f>INSUMOS!B534</f>
        <v>50000</v>
      </c>
      <c r="C20" s="81">
        <f>INSUMOS!E534</f>
        <v>3</v>
      </c>
      <c r="E20" s="77" t="s">
        <v>111</v>
      </c>
      <c r="F20" s="78">
        <f>INSUMOS!B535</f>
        <v>80000</v>
      </c>
      <c r="G20" s="81">
        <f>INSUMOS!E535</f>
        <v>5</v>
      </c>
      <c r="I20" s="77" t="s">
        <v>111</v>
      </c>
      <c r="J20" s="78">
        <f>INSUMOS!B535</f>
        <v>80000</v>
      </c>
      <c r="K20" s="81">
        <f>INSUMOS!E535</f>
        <v>5</v>
      </c>
    </row>
    <row r="21" spans="1:11" x14ac:dyDescent="0.25">
      <c r="A21" s="82" t="s">
        <v>122</v>
      </c>
      <c r="B21" s="83">
        <f>SUM(B14:B20)</f>
        <v>1779750</v>
      </c>
      <c r="C21" s="84">
        <f>SUM(C14:C20)</f>
        <v>23.820565387169665</v>
      </c>
      <c r="E21" s="82" t="s">
        <v>112</v>
      </c>
      <c r="F21" s="83">
        <f>SUM(F14:F20)</f>
        <v>3127550</v>
      </c>
      <c r="G21" s="84">
        <f>SUM(G14:G20)</f>
        <v>93.996990657973953</v>
      </c>
      <c r="I21" s="82" t="s">
        <v>112</v>
      </c>
      <c r="J21" s="83">
        <f>SUM(J14:J20)</f>
        <v>5613188</v>
      </c>
      <c r="K21" s="84">
        <f>SUM(K14:K20)</f>
        <v>169.20319034079739</v>
      </c>
    </row>
    <row r="23" spans="1:11" x14ac:dyDescent="0.25">
      <c r="A23" s="279" t="s">
        <v>123</v>
      </c>
      <c r="B23" s="279"/>
      <c r="C23" s="279"/>
      <c r="E23" s="279" t="s">
        <v>124</v>
      </c>
      <c r="F23" s="279"/>
      <c r="G23" s="279"/>
      <c r="I23" s="279" t="s">
        <v>125</v>
      </c>
      <c r="J23" s="279"/>
      <c r="K23" s="279"/>
    </row>
    <row r="24" spans="1:11" x14ac:dyDescent="0.25">
      <c r="A24" s="71" t="s">
        <v>92</v>
      </c>
      <c r="B24" s="71" t="s">
        <v>93</v>
      </c>
      <c r="C24" s="73" t="s">
        <v>94</v>
      </c>
      <c r="E24" s="71" t="s">
        <v>92</v>
      </c>
      <c r="F24" s="71" t="s">
        <v>93</v>
      </c>
      <c r="G24" s="73" t="s">
        <v>94</v>
      </c>
      <c r="I24" s="71" t="s">
        <v>92</v>
      </c>
      <c r="J24" s="71" t="s">
        <v>93</v>
      </c>
      <c r="K24" s="73" t="s">
        <v>94</v>
      </c>
    </row>
    <row r="25" spans="1:11" x14ac:dyDescent="0.25">
      <c r="A25" s="74" t="s">
        <v>126</v>
      </c>
      <c r="B25" s="75">
        <f>INSUMOS!B525</f>
        <v>1100000</v>
      </c>
      <c r="C25" s="76">
        <f>INSUMOS!E525</f>
        <v>13</v>
      </c>
      <c r="E25" s="74" t="s">
        <v>127</v>
      </c>
      <c r="F25" s="75">
        <f>INSUMOS!B528</f>
        <v>1040000</v>
      </c>
      <c r="G25" s="76">
        <f>INSUMOS!E528</f>
        <v>28</v>
      </c>
      <c r="I25" s="74" t="s">
        <v>128</v>
      </c>
      <c r="J25" s="75">
        <f>INSUMOS!B530</f>
        <v>4900000</v>
      </c>
      <c r="K25" s="76">
        <f>INSUMOS!E530</f>
        <v>97</v>
      </c>
    </row>
    <row r="26" spans="1:11" x14ac:dyDescent="0.25">
      <c r="A26" s="77" t="s">
        <v>98</v>
      </c>
      <c r="B26" s="78">
        <f>INSUMOS!B112</f>
        <v>96000</v>
      </c>
      <c r="C26" s="79">
        <f>INSUMOS!E112</f>
        <v>2.1982747499999995</v>
      </c>
      <c r="E26" s="77" t="s">
        <v>98</v>
      </c>
      <c r="F26" s="78">
        <f>INSUMOS!B112</f>
        <v>96000</v>
      </c>
      <c r="G26" s="79">
        <f>INSUMOS!E112</f>
        <v>2.1982747499999995</v>
      </c>
      <c r="I26" s="77" t="s">
        <v>129</v>
      </c>
      <c r="J26" s="78">
        <f>INSUMOS!B118</f>
        <v>160000</v>
      </c>
      <c r="K26" s="79">
        <f>INSUMOS!E118</f>
        <v>9.1594781249999997</v>
      </c>
    </row>
    <row r="27" spans="1:11" x14ac:dyDescent="0.25">
      <c r="A27" s="77" t="s">
        <v>130</v>
      </c>
      <c r="B27" s="78">
        <f>EJXA!D19</f>
        <v>129760</v>
      </c>
      <c r="C27" s="79">
        <f>EJXA!E19</f>
        <v>6.7744414764027194</v>
      </c>
      <c r="E27" s="77" t="s">
        <v>131</v>
      </c>
      <c r="F27" s="78">
        <f>EJXA!D53</f>
        <v>251000</v>
      </c>
      <c r="G27" s="79">
        <f>EJXA!E53</f>
        <v>17.899441699119105</v>
      </c>
      <c r="I27" s="77" t="s">
        <v>132</v>
      </c>
      <c r="J27" s="78">
        <f>EJXC!D13</f>
        <v>2618025</v>
      </c>
      <c r="K27" s="79">
        <f>EJXC!E13</f>
        <v>50.443000000000005</v>
      </c>
    </row>
    <row r="28" spans="1:11" x14ac:dyDescent="0.25">
      <c r="A28" s="77" t="s">
        <v>133</v>
      </c>
      <c r="B28" s="78">
        <f>AD!D12</f>
        <v>232800</v>
      </c>
      <c r="C28" s="79">
        <f>AD!E12</f>
        <v>3.1821229687322856</v>
      </c>
      <c r="E28" s="77" t="s">
        <v>134</v>
      </c>
      <c r="F28" s="78">
        <f>AD!D32</f>
        <v>232800</v>
      </c>
      <c r="G28" s="79">
        <f>AD!E32</f>
        <v>3.1821229687322856</v>
      </c>
      <c r="I28" s="77" t="s">
        <v>135</v>
      </c>
      <c r="J28" s="78">
        <f>AB!D13</f>
        <v>647320</v>
      </c>
      <c r="K28" s="79">
        <f>AB!E13</f>
        <v>15.909944312450401</v>
      </c>
    </row>
    <row r="29" spans="1:11" x14ac:dyDescent="0.25">
      <c r="A29" s="77" t="s">
        <v>136</v>
      </c>
      <c r="B29" s="78">
        <f>P!D28</f>
        <v>473100</v>
      </c>
      <c r="C29" s="79">
        <f>P!E28</f>
        <v>5.2965922265492136</v>
      </c>
      <c r="E29" s="77" t="s">
        <v>137</v>
      </c>
      <c r="F29" s="78">
        <f>P!D138</f>
        <v>763100</v>
      </c>
      <c r="G29" s="79">
        <f>P!E138</f>
        <v>26.386592226549215</v>
      </c>
      <c r="I29" s="77" t="s">
        <v>138</v>
      </c>
      <c r="J29" s="78">
        <f>P!D176</f>
        <v>880000</v>
      </c>
      <c r="K29" s="79">
        <f>P!E176</f>
        <v>32</v>
      </c>
    </row>
    <row r="30" spans="1:11" x14ac:dyDescent="0.25">
      <c r="A30" s="77" t="s">
        <v>109</v>
      </c>
      <c r="B30" s="78">
        <f>INSUMOS!B537</f>
        <v>50000</v>
      </c>
      <c r="C30" s="80"/>
      <c r="E30" s="77" t="s">
        <v>109</v>
      </c>
      <c r="F30" s="78">
        <f>INSUMOS!B537</f>
        <v>50000</v>
      </c>
      <c r="G30" s="80"/>
      <c r="I30" s="77" t="s">
        <v>109</v>
      </c>
      <c r="J30" s="78">
        <f>INSUMOS!B537</f>
        <v>50000</v>
      </c>
      <c r="K30" s="80"/>
    </row>
    <row r="31" spans="1:11" x14ac:dyDescent="0.25">
      <c r="A31" s="77" t="s">
        <v>110</v>
      </c>
      <c r="B31" s="78">
        <f>INSUMOS!B534</f>
        <v>50000</v>
      </c>
      <c r="C31" s="81">
        <f>INSUMOS!E534</f>
        <v>3</v>
      </c>
      <c r="E31" s="77" t="s">
        <v>111</v>
      </c>
      <c r="F31" s="78">
        <f>INSUMOS!B535</f>
        <v>80000</v>
      </c>
      <c r="G31" s="81">
        <f>INSUMOS!E535</f>
        <v>5</v>
      </c>
      <c r="I31" s="77" t="s">
        <v>111</v>
      </c>
      <c r="J31" s="78">
        <f>INSUMOS!B535</f>
        <v>80000</v>
      </c>
      <c r="K31" s="81">
        <f>INSUMOS!E535</f>
        <v>5</v>
      </c>
    </row>
    <row r="32" spans="1:11" x14ac:dyDescent="0.25">
      <c r="A32" s="82" t="s">
        <v>122</v>
      </c>
      <c r="B32" s="83">
        <f>SUM(B25:B31)</f>
        <v>2131660</v>
      </c>
      <c r="C32" s="84">
        <f>SUM(C25:C31)</f>
        <v>33.451431421684219</v>
      </c>
      <c r="E32" s="82" t="s">
        <v>112</v>
      </c>
      <c r="F32" s="83">
        <f>SUM(F25:F31)</f>
        <v>2512900</v>
      </c>
      <c r="G32" s="84">
        <f>SUM(G25:G31)</f>
        <v>82.666431644400603</v>
      </c>
      <c r="I32" s="82" t="s">
        <v>112</v>
      </c>
      <c r="J32" s="83">
        <f>SUM(J25:J31)</f>
        <v>9335345</v>
      </c>
      <c r="K32" s="84">
        <f>SUM(K25:K31)</f>
        <v>209.5124224374504</v>
      </c>
    </row>
    <row r="34" spans="1:7" x14ac:dyDescent="0.25">
      <c r="A34" s="279" t="s">
        <v>139</v>
      </c>
      <c r="B34" s="279"/>
      <c r="C34" s="279"/>
      <c r="E34" s="279" t="s">
        <v>140</v>
      </c>
      <c r="F34" s="279"/>
      <c r="G34" s="279"/>
    </row>
    <row r="35" spans="1:7" x14ac:dyDescent="0.25">
      <c r="A35" s="71" t="s">
        <v>92</v>
      </c>
      <c r="B35" s="71" t="s">
        <v>93</v>
      </c>
      <c r="C35" s="73" t="s">
        <v>94</v>
      </c>
      <c r="E35" s="71" t="s">
        <v>92</v>
      </c>
      <c r="F35" s="71" t="s">
        <v>93</v>
      </c>
      <c r="G35" s="73" t="s">
        <v>94</v>
      </c>
    </row>
    <row r="36" spans="1:7" x14ac:dyDescent="0.25">
      <c r="A36" s="74" t="s">
        <v>141</v>
      </c>
      <c r="B36" s="75">
        <f>INSUMOS!B437</f>
        <v>1430000</v>
      </c>
      <c r="C36" s="76">
        <f>INSUMOS!E437</f>
        <v>36</v>
      </c>
      <c r="E36" s="74" t="s">
        <v>142</v>
      </c>
      <c r="F36" s="75">
        <f>INSUMOS!B526</f>
        <v>1400000</v>
      </c>
      <c r="G36" s="76">
        <f>INSUMOS!E527</f>
        <v>29</v>
      </c>
    </row>
    <row r="37" spans="1:7" x14ac:dyDescent="0.25">
      <c r="A37" s="77" t="s">
        <v>98</v>
      </c>
      <c r="B37" s="78">
        <f>INSUMOS!B112</f>
        <v>96000</v>
      </c>
      <c r="C37" s="79">
        <f>INSUMOS!E112</f>
        <v>2.1982747499999995</v>
      </c>
      <c r="E37" s="77" t="s">
        <v>98</v>
      </c>
      <c r="F37" s="78">
        <f>INSUMOS!B112</f>
        <v>96000</v>
      </c>
      <c r="G37" s="79">
        <f>INSUMOS!E112</f>
        <v>2.1982747499999995</v>
      </c>
    </row>
    <row r="38" spans="1:7" x14ac:dyDescent="0.25">
      <c r="A38" s="77" t="s">
        <v>143</v>
      </c>
      <c r="B38" s="78">
        <f>EJXA!D26</f>
        <v>152800</v>
      </c>
      <c r="C38" s="79">
        <f>EJXA!E26</f>
        <v>9.0118716887926062</v>
      </c>
      <c r="E38" s="77" t="s">
        <v>144</v>
      </c>
      <c r="F38" s="78">
        <f>EJXA!D60</f>
        <v>400400</v>
      </c>
      <c r="G38" s="79">
        <f>EJXA!E60</f>
        <v>33.412291171688999</v>
      </c>
    </row>
    <row r="39" spans="1:7" x14ac:dyDescent="0.25">
      <c r="A39" s="77" t="s">
        <v>145</v>
      </c>
      <c r="B39" s="78">
        <f>AD!D18</f>
        <v>232800</v>
      </c>
      <c r="C39" s="79">
        <f>AD!E18</f>
        <v>3.1821229687322856</v>
      </c>
      <c r="E39" s="77" t="s">
        <v>104</v>
      </c>
      <c r="F39" s="78">
        <f>AD!D25</f>
        <v>358200</v>
      </c>
      <c r="G39" s="79">
        <f>AD!E39</f>
        <v>7.1597766796476421</v>
      </c>
    </row>
    <row r="40" spans="1:7" x14ac:dyDescent="0.25">
      <c r="A40" s="77" t="s">
        <v>146</v>
      </c>
      <c r="B40" s="78">
        <f>P!D38</f>
        <v>563465</v>
      </c>
      <c r="C40" s="79">
        <f>P!E38</f>
        <v>6.4665922265492135</v>
      </c>
      <c r="E40" s="77" t="s">
        <v>147</v>
      </c>
      <c r="F40" s="78">
        <f>P!D148</f>
        <v>859150</v>
      </c>
      <c r="G40" s="79">
        <f>P!E148</f>
        <v>29.36983250973573</v>
      </c>
    </row>
    <row r="41" spans="1:7" x14ac:dyDescent="0.25">
      <c r="A41" s="77" t="s">
        <v>109</v>
      </c>
      <c r="B41" s="78">
        <f>INSUMOS!B537</f>
        <v>50000</v>
      </c>
      <c r="C41" s="80"/>
      <c r="E41" s="77" t="s">
        <v>109</v>
      </c>
      <c r="F41" s="78">
        <f>INSUMOS!B537</f>
        <v>50000</v>
      </c>
      <c r="G41" s="80"/>
    </row>
    <row r="42" spans="1:7" x14ac:dyDescent="0.25">
      <c r="A42" s="77" t="s">
        <v>110</v>
      </c>
      <c r="B42" s="78">
        <f>INSUMOS!B534</f>
        <v>50000</v>
      </c>
      <c r="C42" s="81">
        <f>INSUMOS!E534</f>
        <v>3</v>
      </c>
      <c r="E42" s="77" t="s">
        <v>111</v>
      </c>
      <c r="F42" s="78">
        <f>INSUMOS!B535</f>
        <v>80000</v>
      </c>
      <c r="G42" s="81">
        <f>INSUMOS!E535</f>
        <v>5</v>
      </c>
    </row>
    <row r="43" spans="1:7" x14ac:dyDescent="0.25">
      <c r="A43" s="82" t="s">
        <v>122</v>
      </c>
      <c r="B43" s="83">
        <f>SUM(B36:B42)</f>
        <v>2575065</v>
      </c>
      <c r="C43" s="84">
        <f>SUM(C36:C42)</f>
        <v>59.858861634074103</v>
      </c>
      <c r="E43" s="82" t="s">
        <v>112</v>
      </c>
      <c r="F43" s="83">
        <f>SUM(F36:F42)</f>
        <v>3243750</v>
      </c>
      <c r="G43" s="84">
        <f>SUM(G36:G42)</f>
        <v>106.14017511107237</v>
      </c>
    </row>
  </sheetData>
  <mergeCells count="11">
    <mergeCell ref="A23:C23"/>
    <mergeCell ref="E23:G23"/>
    <mergeCell ref="I23:K23"/>
    <mergeCell ref="A34:C34"/>
    <mergeCell ref="E34:G34"/>
    <mergeCell ref="A1:C1"/>
    <mergeCell ref="E1:G1"/>
    <mergeCell ref="I1:K1"/>
    <mergeCell ref="A12:C12"/>
    <mergeCell ref="E12:G12"/>
    <mergeCell ref="I12:K1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="85" zoomScaleNormal="85" workbookViewId="0">
      <selection activeCell="J16" sqref="J16"/>
    </sheetView>
  </sheetViews>
  <sheetFormatPr baseColWidth="10" defaultColWidth="9.140625" defaultRowHeight="15" x14ac:dyDescent="0.25"/>
  <cols>
    <col min="1" max="1" width="33.42578125" customWidth="1"/>
    <col min="2" max="2" width="16.7109375" customWidth="1"/>
    <col min="3" max="4" width="9.140625" customWidth="1"/>
    <col min="5" max="5" width="33.42578125" customWidth="1"/>
    <col min="6" max="6" width="16.85546875" customWidth="1"/>
    <col min="7" max="8" width="9.140625" customWidth="1"/>
    <col min="9" max="9" width="33.42578125" customWidth="1"/>
    <col min="10" max="10" width="20.28515625" customWidth="1"/>
    <col min="11" max="12" width="9.140625" customWidth="1"/>
    <col min="13" max="13" width="32.42578125" customWidth="1"/>
    <col min="14" max="15" width="10" customWidth="1"/>
    <col min="16" max="1025" width="9.140625" customWidth="1"/>
  </cols>
  <sheetData>
    <row r="1" spans="1:15" x14ac:dyDescent="0.25">
      <c r="A1" s="279" t="s">
        <v>148</v>
      </c>
      <c r="B1" s="279"/>
      <c r="C1" s="279"/>
      <c r="E1" s="279" t="s">
        <v>149</v>
      </c>
      <c r="F1" s="279"/>
      <c r="G1" s="279"/>
      <c r="I1" s="279" t="s">
        <v>150</v>
      </c>
      <c r="J1" s="279"/>
      <c r="K1" s="279"/>
      <c r="M1" s="257"/>
      <c r="N1" s="257"/>
      <c r="O1" s="257"/>
    </row>
    <row r="2" spans="1:15" x14ac:dyDescent="0.25">
      <c r="A2" s="72" t="s">
        <v>92</v>
      </c>
      <c r="B2" s="72" t="s">
        <v>93</v>
      </c>
      <c r="C2" s="73" t="s">
        <v>94</v>
      </c>
      <c r="E2" s="72" t="s">
        <v>92</v>
      </c>
      <c r="F2" s="72" t="s">
        <v>93</v>
      </c>
      <c r="G2" s="73" t="s">
        <v>94</v>
      </c>
      <c r="I2" s="72" t="s">
        <v>92</v>
      </c>
      <c r="J2" s="72" t="s">
        <v>93</v>
      </c>
      <c r="K2" s="73" t="s">
        <v>94</v>
      </c>
      <c r="M2" s="85"/>
      <c r="N2" s="85"/>
      <c r="O2" s="85"/>
    </row>
    <row r="3" spans="1:15" x14ac:dyDescent="0.25">
      <c r="A3" s="74" t="s">
        <v>151</v>
      </c>
      <c r="B3" s="75">
        <f>INSUMOS!B424</f>
        <v>1155000</v>
      </c>
      <c r="C3" s="76">
        <f>INSUMOS!E424</f>
        <v>9</v>
      </c>
      <c r="E3" s="74" t="s">
        <v>152</v>
      </c>
      <c r="F3" s="75">
        <f>INSUMOS!B432</f>
        <v>1492202.8</v>
      </c>
      <c r="G3" s="76">
        <f>INSUMOS!E432</f>
        <v>21</v>
      </c>
      <c r="I3" s="74" t="s">
        <v>153</v>
      </c>
      <c r="J3" s="75">
        <f>INSUMOS!B518</f>
        <v>1259874</v>
      </c>
      <c r="K3" s="76">
        <f>INSUMOS!E518</f>
        <v>43</v>
      </c>
      <c r="M3" s="15"/>
      <c r="N3" s="86"/>
      <c r="O3" s="87"/>
    </row>
    <row r="4" spans="1:15" x14ac:dyDescent="0.25">
      <c r="A4" s="77" t="s">
        <v>98</v>
      </c>
      <c r="B4" s="78">
        <f>INSUMOS!B112</f>
        <v>96000</v>
      </c>
      <c r="C4" s="79">
        <f>INSUMOS!E112</f>
        <v>2.1982747499999995</v>
      </c>
      <c r="E4" s="77" t="s">
        <v>98</v>
      </c>
      <c r="F4" s="78">
        <f>INSUMOS!B112</f>
        <v>96000</v>
      </c>
      <c r="G4" s="79">
        <f>INSUMOS!E112</f>
        <v>2.1982747499999995</v>
      </c>
      <c r="I4" s="77" t="s">
        <v>98</v>
      </c>
      <c r="J4" s="78">
        <f>INSUMOS!B112</f>
        <v>96000</v>
      </c>
      <c r="K4" s="79">
        <f>INSUMOS!E112</f>
        <v>2.1982747499999995</v>
      </c>
      <c r="M4" s="15"/>
      <c r="N4" s="88"/>
      <c r="O4" s="89"/>
    </row>
    <row r="5" spans="1:15" x14ac:dyDescent="0.25">
      <c r="A5" s="77" t="s">
        <v>154</v>
      </c>
      <c r="B5" s="78">
        <f>EJXA!D67</f>
        <v>83010</v>
      </c>
      <c r="C5" s="79">
        <f>EJXA!E67</f>
        <v>2.3468156894400605</v>
      </c>
      <c r="E5" s="77" t="s">
        <v>155</v>
      </c>
      <c r="F5" s="78">
        <f>EJXA!D100</f>
        <v>146400</v>
      </c>
      <c r="G5" s="79">
        <f>EJXA!E100</f>
        <v>8.390363296462084</v>
      </c>
      <c r="I5" s="77" t="s">
        <v>156</v>
      </c>
      <c r="J5" s="78">
        <f>EJXA!D121</f>
        <v>256220</v>
      </c>
      <c r="K5" s="79">
        <f>EJXA!E121</f>
        <v>18.436424950092679</v>
      </c>
      <c r="M5" s="15"/>
      <c r="N5" s="88"/>
      <c r="O5" s="89"/>
    </row>
    <row r="6" spans="1:15" x14ac:dyDescent="0.25">
      <c r="A6" s="77" t="s">
        <v>103</v>
      </c>
      <c r="B6" s="78">
        <f>AD!D5</f>
        <v>197400</v>
      </c>
      <c r="C6" s="79">
        <f>AD!E5</f>
        <v>1.7899441699119105</v>
      </c>
      <c r="E6" s="77" t="s">
        <v>133</v>
      </c>
      <c r="F6" s="78">
        <f>AD!D12</f>
        <v>232800</v>
      </c>
      <c r="G6" s="79">
        <f>AD!E12</f>
        <v>3.1821229687322856</v>
      </c>
      <c r="I6" s="77" t="s">
        <v>134</v>
      </c>
      <c r="J6" s="78">
        <f>AD!D32</f>
        <v>232800</v>
      </c>
      <c r="K6" s="79">
        <f>AD!E32</f>
        <v>3.1821229687322856</v>
      </c>
      <c r="M6" s="15"/>
      <c r="N6" s="88"/>
      <c r="O6" s="89"/>
    </row>
    <row r="7" spans="1:15" x14ac:dyDescent="0.25">
      <c r="A7" s="77" t="s">
        <v>157</v>
      </c>
      <c r="B7" s="78">
        <f>P!D187</f>
        <v>436250</v>
      </c>
      <c r="C7" s="79">
        <f>P!E187</f>
        <v>2.2424581274339328</v>
      </c>
      <c r="E7" s="77" t="s">
        <v>158</v>
      </c>
      <c r="F7" s="78">
        <f>P!D217</f>
        <v>573100</v>
      </c>
      <c r="G7" s="79">
        <f>P!E217</f>
        <v>7.1865922265492141</v>
      </c>
      <c r="I7" s="77" t="s">
        <v>159</v>
      </c>
      <c r="J7" s="78">
        <f>P!D246</f>
        <v>790000</v>
      </c>
      <c r="K7" s="79">
        <f>P!E246</f>
        <v>14.3</v>
      </c>
      <c r="M7" s="15"/>
      <c r="N7" s="88"/>
      <c r="O7" s="89"/>
    </row>
    <row r="8" spans="1:15" x14ac:dyDescent="0.25">
      <c r="A8" s="77" t="s">
        <v>109</v>
      </c>
      <c r="B8" s="78">
        <f>INSUMOS!B537</f>
        <v>50000</v>
      </c>
      <c r="C8" s="80"/>
      <c r="E8" s="77" t="s">
        <v>109</v>
      </c>
      <c r="F8" s="78">
        <f>INSUMOS!B537</f>
        <v>50000</v>
      </c>
      <c r="G8" s="80"/>
      <c r="I8" s="77" t="s">
        <v>109</v>
      </c>
      <c r="J8" s="78">
        <f>INSUMOS!B537</f>
        <v>50000</v>
      </c>
      <c r="K8" s="80"/>
      <c r="M8" s="15"/>
      <c r="N8" s="88"/>
      <c r="O8" s="88"/>
    </row>
    <row r="9" spans="1:15" x14ac:dyDescent="0.25">
      <c r="A9" s="77" t="s">
        <v>110</v>
      </c>
      <c r="B9" s="78">
        <f>INSUMOS!B534</f>
        <v>50000</v>
      </c>
      <c r="C9" s="81">
        <f>INSUMOS!E534</f>
        <v>3</v>
      </c>
      <c r="E9" s="77" t="s">
        <v>110</v>
      </c>
      <c r="F9" s="78">
        <f>INSUMOS!B534</f>
        <v>50000</v>
      </c>
      <c r="G9" s="81">
        <f>INSUMOS!E534</f>
        <v>3</v>
      </c>
      <c r="I9" s="77" t="s">
        <v>111</v>
      </c>
      <c r="J9" s="78">
        <f>INSUMOS!B535</f>
        <v>80000</v>
      </c>
      <c r="K9" s="81">
        <f>INSUMOS!E535</f>
        <v>5</v>
      </c>
      <c r="M9" s="15"/>
      <c r="N9" s="88"/>
      <c r="O9" s="90"/>
    </row>
    <row r="10" spans="1:15" x14ac:dyDescent="0.25">
      <c r="A10" s="82" t="s">
        <v>112</v>
      </c>
      <c r="B10" s="83">
        <f>SUM(B3:B9)</f>
        <v>2067660</v>
      </c>
      <c r="C10" s="84">
        <f>SUM(C3:C9)</f>
        <v>20.577492736785903</v>
      </c>
      <c r="E10" s="82" t="s">
        <v>112</v>
      </c>
      <c r="F10" s="83">
        <f>SUM(F3:F9)</f>
        <v>2640502.7999999998</v>
      </c>
      <c r="G10" s="84">
        <f>SUM(G3:G9)</f>
        <v>44.957353241743583</v>
      </c>
      <c r="I10" s="82" t="s">
        <v>112</v>
      </c>
      <c r="J10" s="83">
        <f>SUM(J3:J9)</f>
        <v>2764894</v>
      </c>
      <c r="K10" s="84">
        <f>SUM(K3:K9)</f>
        <v>86.116822668824952</v>
      </c>
      <c r="M10" s="91"/>
      <c r="N10" s="92"/>
      <c r="O10" s="93"/>
    </row>
    <row r="12" spans="1:15" x14ac:dyDescent="0.25">
      <c r="A12" s="279" t="s">
        <v>160</v>
      </c>
      <c r="B12" s="279"/>
      <c r="C12" s="279"/>
      <c r="E12" s="279" t="s">
        <v>161</v>
      </c>
      <c r="F12" s="279"/>
      <c r="G12" s="279"/>
      <c r="I12" s="279" t="s">
        <v>162</v>
      </c>
      <c r="J12" s="279"/>
      <c r="K12" s="279"/>
    </row>
    <row r="13" spans="1:15" x14ac:dyDescent="0.25">
      <c r="A13" s="72" t="s">
        <v>92</v>
      </c>
      <c r="B13" s="72" t="s">
        <v>93</v>
      </c>
      <c r="C13" s="73" t="s">
        <v>94</v>
      </c>
      <c r="E13" s="72" t="s">
        <v>92</v>
      </c>
      <c r="F13" s="72" t="s">
        <v>93</v>
      </c>
      <c r="G13" s="73" t="s">
        <v>94</v>
      </c>
      <c r="I13" s="72" t="s">
        <v>92</v>
      </c>
      <c r="J13" s="72" t="s">
        <v>93</v>
      </c>
      <c r="K13" s="73" t="s">
        <v>94</v>
      </c>
    </row>
    <row r="14" spans="1:15" x14ac:dyDescent="0.25">
      <c r="A14" s="74" t="s">
        <v>163</v>
      </c>
      <c r="B14" s="75">
        <f>INSUMOS!B424</f>
        <v>1155000</v>
      </c>
      <c r="C14" s="76">
        <f>INSUMOS!E424</f>
        <v>9</v>
      </c>
      <c r="E14" s="74" t="s">
        <v>164</v>
      </c>
      <c r="F14" s="75">
        <f>INSUMOS!B448</f>
        <v>1893000</v>
      </c>
      <c r="G14" s="76">
        <f>INSUMOS!E445</f>
        <v>43</v>
      </c>
      <c r="I14" s="74" t="s">
        <v>164</v>
      </c>
      <c r="J14" s="75">
        <f>INSUMOS!B448</f>
        <v>1893000</v>
      </c>
      <c r="K14" s="76">
        <f>INSUMOS!E446</f>
        <v>43</v>
      </c>
    </row>
    <row r="15" spans="1:15" x14ac:dyDescent="0.25">
      <c r="A15" s="77" t="s">
        <v>98</v>
      </c>
      <c r="B15" s="78">
        <f>INSUMOS!B112</f>
        <v>96000</v>
      </c>
      <c r="C15" s="79">
        <f>INSUMOS!E112</f>
        <v>2.1982747499999995</v>
      </c>
      <c r="E15" s="77" t="s">
        <v>98</v>
      </c>
      <c r="F15" s="78">
        <f>INSUMOS!B112</f>
        <v>96000</v>
      </c>
      <c r="G15" s="79">
        <f>INSUMOS!E112</f>
        <v>2.1982747499999995</v>
      </c>
      <c r="I15" s="77" t="s">
        <v>98</v>
      </c>
      <c r="J15" s="78">
        <f>INSUMOS!B112</f>
        <v>96000</v>
      </c>
      <c r="K15" s="79">
        <f>INSUMOS!E112</f>
        <v>2.1982747499999995</v>
      </c>
    </row>
    <row r="16" spans="1:15" x14ac:dyDescent="0.25">
      <c r="A16" s="77" t="s">
        <v>165</v>
      </c>
      <c r="B16" s="78">
        <f>EJXA!D74</f>
        <v>93540</v>
      </c>
      <c r="C16" s="79">
        <f>EJXA!E74</f>
        <v>3.420782191387207</v>
      </c>
      <c r="E16" s="77" t="s">
        <v>166</v>
      </c>
      <c r="F16" s="78">
        <f>EJXA!D107</f>
        <v>326480</v>
      </c>
      <c r="G16" s="79">
        <f>EJXA!E107</f>
        <v>25.775196046731516</v>
      </c>
      <c r="I16" s="77" t="s">
        <v>167</v>
      </c>
      <c r="J16" s="78">
        <f>EJXA!D140</f>
        <v>477400</v>
      </c>
      <c r="K16" s="79">
        <f>EJXA!E140</f>
        <v>41.367598593519716</v>
      </c>
    </row>
    <row r="17" spans="1:11" x14ac:dyDescent="0.25">
      <c r="A17" s="77" t="s">
        <v>103</v>
      </c>
      <c r="B17" s="78">
        <f>AD!D5</f>
        <v>197400</v>
      </c>
      <c r="C17" s="79">
        <f>AD!E5</f>
        <v>1.7899441699119105</v>
      </c>
      <c r="E17" s="77" t="s">
        <v>168</v>
      </c>
      <c r="F17" s="78">
        <f>AD!D46</f>
        <v>358200</v>
      </c>
      <c r="G17" s="79">
        <f>AD!E46</f>
        <v>7.1597766796476421</v>
      </c>
      <c r="I17" s="77" t="s">
        <v>168</v>
      </c>
      <c r="J17" s="78">
        <f>AD!D46</f>
        <v>358200</v>
      </c>
      <c r="K17" s="79">
        <f>AD!E46</f>
        <v>7.1597766796476421</v>
      </c>
    </row>
    <row r="18" spans="1:11" x14ac:dyDescent="0.25">
      <c r="A18" s="77" t="s">
        <v>169</v>
      </c>
      <c r="B18" s="78">
        <f>P!D197</f>
        <v>451250</v>
      </c>
      <c r="C18" s="79">
        <f>P!E197</f>
        <v>2.942458127433933</v>
      </c>
      <c r="E18" s="77" t="s">
        <v>170</v>
      </c>
      <c r="F18" s="78">
        <f>P!D227</f>
        <v>759150</v>
      </c>
      <c r="G18" s="79">
        <f>P!E227</f>
        <v>10.869832509735732</v>
      </c>
      <c r="I18" s="77" t="s">
        <v>171</v>
      </c>
      <c r="J18" s="78">
        <f>P!D256</f>
        <v>1220000</v>
      </c>
      <c r="K18" s="79">
        <f>P!E256</f>
        <v>26.5</v>
      </c>
    </row>
    <row r="19" spans="1:11" x14ac:dyDescent="0.25">
      <c r="A19" s="77" t="s">
        <v>109</v>
      </c>
      <c r="B19" s="78">
        <f>INSUMOS!B537</f>
        <v>50000</v>
      </c>
      <c r="C19" s="80"/>
      <c r="E19" s="77" t="s">
        <v>109</v>
      </c>
      <c r="F19" s="78">
        <f>INSUMOS!B537</f>
        <v>50000</v>
      </c>
      <c r="G19" s="80"/>
      <c r="I19" s="77" t="s">
        <v>109</v>
      </c>
      <c r="J19" s="78">
        <f>INSUMOS!B537</f>
        <v>50000</v>
      </c>
      <c r="K19" s="80"/>
    </row>
    <row r="20" spans="1:11" x14ac:dyDescent="0.25">
      <c r="A20" s="77" t="s">
        <v>110</v>
      </c>
      <c r="B20" s="78">
        <f>INSUMOS!B534</f>
        <v>50000</v>
      </c>
      <c r="C20" s="81">
        <f>INSUMOS!E534</f>
        <v>3</v>
      </c>
      <c r="E20" s="77" t="s">
        <v>111</v>
      </c>
      <c r="F20" s="78">
        <f>INSUMOS!B535</f>
        <v>80000</v>
      </c>
      <c r="G20" s="81">
        <f>INSUMOS!E535</f>
        <v>5</v>
      </c>
      <c r="I20" s="77" t="s">
        <v>172</v>
      </c>
      <c r="J20" s="78">
        <f>INSUMOS!B536</f>
        <v>120000</v>
      </c>
      <c r="K20" s="81">
        <f>INSUMOS!E536</f>
        <v>9</v>
      </c>
    </row>
    <row r="21" spans="1:11" x14ac:dyDescent="0.25">
      <c r="A21" s="82" t="s">
        <v>112</v>
      </c>
      <c r="B21" s="83">
        <f>SUM(B14:B20)</f>
        <v>2093190</v>
      </c>
      <c r="C21" s="84">
        <f>SUM(C14:C20)</f>
        <v>22.351459238733053</v>
      </c>
      <c r="E21" s="82" t="s">
        <v>112</v>
      </c>
      <c r="F21" s="83">
        <f>SUM(F14:F20)</f>
        <v>3562830</v>
      </c>
      <c r="G21" s="84">
        <f>SUM(G14:G20)</f>
        <v>94.003079986114884</v>
      </c>
      <c r="I21" s="82" t="s">
        <v>112</v>
      </c>
      <c r="J21" s="83">
        <f>SUM(J14:J20)</f>
        <v>4214600</v>
      </c>
      <c r="K21" s="84">
        <f>SUM(K14:K20)</f>
        <v>129.22565002316736</v>
      </c>
    </row>
    <row r="23" spans="1:11" x14ac:dyDescent="0.25">
      <c r="A23" s="279" t="s">
        <v>173</v>
      </c>
      <c r="B23" s="279"/>
      <c r="C23" s="279"/>
      <c r="E23" s="279" t="s">
        <v>174</v>
      </c>
      <c r="F23" s="279"/>
      <c r="G23" s="279"/>
      <c r="I23" s="279" t="s">
        <v>175</v>
      </c>
      <c r="J23" s="279"/>
      <c r="K23" s="279"/>
    </row>
    <row r="24" spans="1:11" x14ac:dyDescent="0.25">
      <c r="A24" s="72" t="s">
        <v>92</v>
      </c>
      <c r="B24" s="72" t="s">
        <v>93</v>
      </c>
      <c r="C24" s="73" t="s">
        <v>94</v>
      </c>
      <c r="E24" s="72" t="s">
        <v>92</v>
      </c>
      <c r="F24" s="72" t="s">
        <v>93</v>
      </c>
      <c r="G24" s="73" t="s">
        <v>94</v>
      </c>
      <c r="I24" s="72" t="s">
        <v>92</v>
      </c>
      <c r="J24" s="72" t="s">
        <v>93</v>
      </c>
      <c r="K24" s="73" t="s">
        <v>94</v>
      </c>
    </row>
    <row r="25" spans="1:11" x14ac:dyDescent="0.25">
      <c r="A25" s="74" t="s">
        <v>176</v>
      </c>
      <c r="B25" s="75">
        <f>INSUMOS!B424</f>
        <v>1155000</v>
      </c>
      <c r="C25" s="76">
        <f>INSUMOS!E424</f>
        <v>9</v>
      </c>
      <c r="E25" s="74" t="s">
        <v>177</v>
      </c>
      <c r="F25" s="75">
        <f>INSUMOS!B446</f>
        <v>1993000</v>
      </c>
      <c r="G25" s="76">
        <f>INSUMOS!E448</f>
        <v>43</v>
      </c>
      <c r="I25" s="74" t="s">
        <v>178</v>
      </c>
      <c r="J25" s="75">
        <f>INSUMOS!B465</f>
        <v>2486000</v>
      </c>
      <c r="K25" s="76">
        <f>INSUMOS!E465</f>
        <v>73</v>
      </c>
    </row>
    <row r="26" spans="1:11" x14ac:dyDescent="0.25">
      <c r="A26" s="77" t="s">
        <v>98</v>
      </c>
      <c r="B26" s="78">
        <f>INSUMOS!B112</f>
        <v>96000</v>
      </c>
      <c r="C26" s="79">
        <f>INSUMOS!E112</f>
        <v>2.1982747499999995</v>
      </c>
      <c r="E26" s="77" t="s">
        <v>98</v>
      </c>
      <c r="F26" s="78">
        <f>INSUMOS!B112</f>
        <v>96000</v>
      </c>
      <c r="G26" s="79">
        <f>INSUMOS!E112</f>
        <v>2.1982747499999995</v>
      </c>
      <c r="I26" s="77" t="s">
        <v>179</v>
      </c>
      <c r="J26" s="78">
        <f>INSUMOS!B113</f>
        <v>100000</v>
      </c>
      <c r="K26" s="79">
        <f>INSUMOS!E113</f>
        <v>3.1154687499999998</v>
      </c>
    </row>
    <row r="27" spans="1:11" x14ac:dyDescent="0.25">
      <c r="A27" s="77" t="s">
        <v>180</v>
      </c>
      <c r="B27" s="78">
        <f>EJXA!D93</f>
        <v>102120</v>
      </c>
      <c r="C27" s="79">
        <f>EJXA!E93</f>
        <v>4.295866007788586</v>
      </c>
      <c r="E27" s="77" t="s">
        <v>181</v>
      </c>
      <c r="F27" s="78">
        <f>EJXA!D114</f>
        <v>360360</v>
      </c>
      <c r="G27" s="79">
        <f>EJXA!E114</f>
        <v>29.275531312337026</v>
      </c>
      <c r="I27" s="77" t="s">
        <v>182</v>
      </c>
      <c r="J27" s="78">
        <f>EJXA!D147</f>
        <v>483560</v>
      </c>
      <c r="K27" s="79">
        <f>EJXA!E147</f>
        <v>42.004023187266171</v>
      </c>
    </row>
    <row r="28" spans="1:11" x14ac:dyDescent="0.25">
      <c r="A28" s="77" t="s">
        <v>103</v>
      </c>
      <c r="B28" s="78">
        <f>AD!D5</f>
        <v>197400</v>
      </c>
      <c r="C28" s="79">
        <f>AD!E5</f>
        <v>1.7899441699119105</v>
      </c>
      <c r="E28" s="77" t="s">
        <v>168</v>
      </c>
      <c r="F28" s="78">
        <f>AD!D46</f>
        <v>358200</v>
      </c>
      <c r="G28" s="79">
        <f>AD!E46</f>
        <v>7.1597766796476421</v>
      </c>
      <c r="I28" s="77" t="s">
        <v>104</v>
      </c>
      <c r="J28" s="78">
        <f>AD!D39</f>
        <v>358200</v>
      </c>
      <c r="K28" s="79">
        <f>AD!E39</f>
        <v>7.1597766796476421</v>
      </c>
    </row>
    <row r="29" spans="1:11" x14ac:dyDescent="0.25">
      <c r="A29" s="77" t="s">
        <v>183</v>
      </c>
      <c r="B29" s="78">
        <f>P!D207</f>
        <v>476250</v>
      </c>
      <c r="C29" s="79">
        <f>P!E207</f>
        <v>4.5424581274339335</v>
      </c>
      <c r="E29" s="77" t="s">
        <v>184</v>
      </c>
      <c r="F29" s="78">
        <f>P!D236</f>
        <v>745000</v>
      </c>
      <c r="G29" s="79">
        <f>P!E236</f>
        <v>13.8</v>
      </c>
      <c r="I29" s="77" t="s">
        <v>185</v>
      </c>
      <c r="J29" s="78">
        <f>P!D266</f>
        <v>2070000</v>
      </c>
      <c r="K29" s="79">
        <f>P!E266</f>
        <v>32.5</v>
      </c>
    </row>
    <row r="30" spans="1:11" x14ac:dyDescent="0.25">
      <c r="A30" s="77" t="s">
        <v>109</v>
      </c>
      <c r="B30" s="78">
        <f>INSUMOS!B537</f>
        <v>50000</v>
      </c>
      <c r="C30" s="80"/>
      <c r="E30" s="77" t="s">
        <v>109</v>
      </c>
      <c r="F30" s="78">
        <f>INSUMOS!B537</f>
        <v>50000</v>
      </c>
      <c r="G30" s="80"/>
      <c r="I30" s="77" t="s">
        <v>109</v>
      </c>
      <c r="J30" s="78">
        <f>INSUMOS!B537</f>
        <v>50000</v>
      </c>
      <c r="K30" s="80"/>
    </row>
    <row r="31" spans="1:11" x14ac:dyDescent="0.25">
      <c r="A31" s="77" t="s">
        <v>110</v>
      </c>
      <c r="B31" s="78">
        <f>INSUMOS!B534</f>
        <v>50000</v>
      </c>
      <c r="C31" s="81">
        <f>INSUMOS!E534</f>
        <v>3</v>
      </c>
      <c r="E31" s="77" t="s">
        <v>111</v>
      </c>
      <c r="F31" s="78">
        <f>INSUMOS!B535</f>
        <v>80000</v>
      </c>
      <c r="G31" s="81">
        <f>INSUMOS!E535</f>
        <v>5</v>
      </c>
      <c r="I31" s="77" t="s">
        <v>172</v>
      </c>
      <c r="J31" s="78">
        <f>INSUMOS!B536</f>
        <v>120000</v>
      </c>
      <c r="K31" s="81">
        <f>INSUMOS!E536</f>
        <v>9</v>
      </c>
    </row>
    <row r="32" spans="1:11" x14ac:dyDescent="0.25">
      <c r="A32" s="82" t="s">
        <v>112</v>
      </c>
      <c r="B32" s="83">
        <f>SUM(B25:B31)</f>
        <v>2126770</v>
      </c>
      <c r="C32" s="84">
        <f>SUM(C25:C31)</f>
        <v>24.826543055134429</v>
      </c>
      <c r="E32" s="82" t="s">
        <v>112</v>
      </c>
      <c r="F32" s="83">
        <f>SUM(F25:F31)</f>
        <v>3682560</v>
      </c>
      <c r="G32" s="84">
        <f>SUM(G25:G31)</f>
        <v>100.43358274198467</v>
      </c>
      <c r="I32" s="82" t="s">
        <v>112</v>
      </c>
      <c r="J32" s="83">
        <f>SUM(J25:J31)</f>
        <v>5667760</v>
      </c>
      <c r="K32" s="84">
        <f>SUM(K25:K31)</f>
        <v>166.77926861691381</v>
      </c>
    </row>
    <row r="34" spans="1:3" x14ac:dyDescent="0.25">
      <c r="A34" s="279" t="s">
        <v>186</v>
      </c>
      <c r="B34" s="279"/>
      <c r="C34" s="279"/>
    </row>
    <row r="35" spans="1:3" x14ac:dyDescent="0.25">
      <c r="A35" s="72" t="s">
        <v>92</v>
      </c>
      <c r="B35" s="72" t="s">
        <v>93</v>
      </c>
      <c r="C35" s="73" t="s">
        <v>94</v>
      </c>
    </row>
    <row r="36" spans="1:3" x14ac:dyDescent="0.25">
      <c r="A36" s="74" t="s">
        <v>187</v>
      </c>
      <c r="B36" s="75">
        <f>INSUMOS!B524</f>
        <v>850000</v>
      </c>
      <c r="C36" s="76">
        <f>INSUMOS!E524</f>
        <v>9</v>
      </c>
    </row>
    <row r="37" spans="1:3" x14ac:dyDescent="0.25">
      <c r="A37" s="77" t="s">
        <v>188</v>
      </c>
      <c r="B37" s="78">
        <f>INSUMOS!B111</f>
        <v>90000</v>
      </c>
      <c r="C37" s="79">
        <f>INSUMOS!E111</f>
        <v>1.44059275</v>
      </c>
    </row>
    <row r="38" spans="1:3" x14ac:dyDescent="0.25">
      <c r="A38" s="77" t="s">
        <v>100</v>
      </c>
      <c r="B38" s="78">
        <f>EJXA!D5</f>
        <v>85350</v>
      </c>
      <c r="C38" s="79">
        <f>EJXA!E5</f>
        <v>2.5854749120949823</v>
      </c>
    </row>
    <row r="39" spans="1:3" x14ac:dyDescent="0.25">
      <c r="A39" s="77" t="s">
        <v>103</v>
      </c>
      <c r="B39" s="78">
        <f>AD!D5</f>
        <v>197400</v>
      </c>
      <c r="C39" s="79">
        <f>AD!E5</f>
        <v>1.7899441699119105</v>
      </c>
    </row>
    <row r="40" spans="1:3" x14ac:dyDescent="0.25">
      <c r="A40" s="77" t="s">
        <v>169</v>
      </c>
      <c r="B40" s="78">
        <f>P!D197</f>
        <v>451250</v>
      </c>
      <c r="C40" s="79">
        <f>P!E218</f>
        <v>0</v>
      </c>
    </row>
    <row r="41" spans="1:3" x14ac:dyDescent="0.25">
      <c r="A41" s="77" t="s">
        <v>109</v>
      </c>
      <c r="B41" s="78">
        <f>INSUMOS!B537</f>
        <v>50000</v>
      </c>
      <c r="C41" s="80"/>
    </row>
    <row r="42" spans="1:3" x14ac:dyDescent="0.25">
      <c r="A42" s="77" t="s">
        <v>110</v>
      </c>
      <c r="B42" s="78">
        <f>INSUMOS!B534</f>
        <v>50000</v>
      </c>
      <c r="C42" s="81">
        <f>INSUMOS!E545</f>
        <v>0</v>
      </c>
    </row>
    <row r="43" spans="1:3" x14ac:dyDescent="0.25">
      <c r="A43" s="82" t="s">
        <v>112</v>
      </c>
      <c r="B43" s="83">
        <f>SUM(B36:B42)</f>
        <v>1774000</v>
      </c>
      <c r="C43" s="84">
        <f>SUM(C36:C42)</f>
        <v>14.816011832006893</v>
      </c>
    </row>
  </sheetData>
  <mergeCells count="11">
    <mergeCell ref="A34:C34"/>
    <mergeCell ref="A1:C1"/>
    <mergeCell ref="E1:G1"/>
    <mergeCell ref="I1:K1"/>
    <mergeCell ref="M1:O1"/>
    <mergeCell ref="A12:C12"/>
    <mergeCell ref="E12:G12"/>
    <mergeCell ref="I12:K12"/>
    <mergeCell ref="A23:C23"/>
    <mergeCell ref="E23:G23"/>
    <mergeCell ref="I23:K23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zoomScaleNormal="100" workbookViewId="0">
      <selection activeCell="H27" sqref="H27"/>
    </sheetView>
  </sheetViews>
  <sheetFormatPr baseColWidth="10" defaultColWidth="9.140625" defaultRowHeight="15" x14ac:dyDescent="0.25"/>
  <cols>
    <col min="1" max="1" width="34.28515625" customWidth="1"/>
    <col min="2" max="2" width="11.42578125"/>
    <col min="3" max="4" width="9.140625" customWidth="1"/>
    <col min="5" max="5" width="32.42578125" customWidth="1"/>
    <col min="6" max="6" width="11.42578125"/>
    <col min="7" max="1025" width="9.140625" customWidth="1"/>
  </cols>
  <sheetData>
    <row r="1" spans="1:7" x14ac:dyDescent="0.25">
      <c r="A1" s="279" t="s">
        <v>189</v>
      </c>
      <c r="B1" s="279"/>
      <c r="C1" s="279"/>
      <c r="E1" s="279" t="s">
        <v>190</v>
      </c>
      <c r="F1" s="279"/>
      <c r="G1" s="279"/>
    </row>
    <row r="2" spans="1:7" x14ac:dyDescent="0.25">
      <c r="A2" s="72" t="s">
        <v>92</v>
      </c>
      <c r="B2" s="72" t="s">
        <v>93</v>
      </c>
      <c r="C2" s="73" t="s">
        <v>94</v>
      </c>
      <c r="E2" s="72" t="s">
        <v>92</v>
      </c>
      <c r="F2" s="72" t="s">
        <v>93</v>
      </c>
      <c r="G2" s="73" t="s">
        <v>94</v>
      </c>
    </row>
    <row r="3" spans="1:7" x14ac:dyDescent="0.25">
      <c r="A3" s="74" t="s">
        <v>191</v>
      </c>
      <c r="B3" s="75">
        <f>INSUMOS!B426</f>
        <v>1200000</v>
      </c>
      <c r="C3" s="76">
        <f>INSUMOS!E426</f>
        <v>16</v>
      </c>
      <c r="E3" s="74" t="s">
        <v>192</v>
      </c>
      <c r="F3" s="75">
        <f>INSUMOS!B474</f>
        <v>3065000</v>
      </c>
      <c r="G3" s="76">
        <f>INSUMOS!E474</f>
        <v>115</v>
      </c>
    </row>
    <row r="4" spans="1:7" x14ac:dyDescent="0.25">
      <c r="A4" s="77" t="s">
        <v>98</v>
      </c>
      <c r="B4" s="78">
        <f>INSUMOS!B112</f>
        <v>96000</v>
      </c>
      <c r="C4" s="79">
        <f>INSUMOS!E112</f>
        <v>2.1982747499999995</v>
      </c>
      <c r="E4" s="77" t="s">
        <v>193</v>
      </c>
      <c r="F4" s="78">
        <f>INSUMOS!B116</f>
        <v>110000</v>
      </c>
      <c r="G4" s="79">
        <f>INSUMOS!E116</f>
        <v>4.4862749999999991</v>
      </c>
    </row>
    <row r="5" spans="1:7" x14ac:dyDescent="0.25">
      <c r="A5" s="77" t="s">
        <v>118</v>
      </c>
      <c r="B5" s="78">
        <f>EJXA!D12</f>
        <v>95100</v>
      </c>
      <c r="C5" s="79">
        <f>EJXA!E12</f>
        <v>3.5798883398238215</v>
      </c>
      <c r="E5" s="77" t="s">
        <v>194</v>
      </c>
      <c r="F5" s="78">
        <f>EJXC!D20</f>
        <v>1711923</v>
      </c>
      <c r="G5" s="79">
        <f>EJXC!E20</f>
        <v>35.440000000000005</v>
      </c>
    </row>
    <row r="6" spans="1:7" x14ac:dyDescent="0.25">
      <c r="A6" s="77" t="s">
        <v>103</v>
      </c>
      <c r="B6" s="78">
        <f>AD!D5</f>
        <v>197400</v>
      </c>
      <c r="C6" s="79">
        <f>AD!E5</f>
        <v>1.7899441699119105</v>
      </c>
      <c r="E6" s="77" t="s">
        <v>195</v>
      </c>
      <c r="F6" s="78">
        <f>AB!D27</f>
        <v>546265</v>
      </c>
      <c r="G6" s="79">
        <f>AB!E27</f>
        <v>9.0468715907973944</v>
      </c>
    </row>
    <row r="7" spans="1:7" x14ac:dyDescent="0.25">
      <c r="A7" s="77" t="s">
        <v>196</v>
      </c>
      <c r="B7" s="78">
        <f>P!D306</f>
        <v>526250</v>
      </c>
      <c r="C7" s="79">
        <f>P!E306</f>
        <v>5.6424581274339332</v>
      </c>
      <c r="E7" s="77" t="s">
        <v>197</v>
      </c>
      <c r="F7" s="78">
        <f>P!D366</f>
        <v>1486000</v>
      </c>
      <c r="G7" s="79" t="str">
        <f>P!C366</f>
        <v>TOTAL</v>
      </c>
    </row>
    <row r="8" spans="1:7" x14ac:dyDescent="0.25">
      <c r="A8" s="77" t="s">
        <v>109</v>
      </c>
      <c r="B8" s="78">
        <f>INSUMOS!B537</f>
        <v>50000</v>
      </c>
      <c r="C8" s="80"/>
      <c r="E8" s="77" t="s">
        <v>109</v>
      </c>
      <c r="F8" s="78">
        <f>INSUMOS!B537</f>
        <v>50000</v>
      </c>
      <c r="G8" s="80"/>
    </row>
    <row r="9" spans="1:7" x14ac:dyDescent="0.25">
      <c r="A9" s="77" t="s">
        <v>110</v>
      </c>
      <c r="B9" s="78">
        <f>INSUMOS!B534</f>
        <v>50000</v>
      </c>
      <c r="C9" s="81">
        <f>INSUMOS!E534</f>
        <v>3</v>
      </c>
      <c r="E9" s="77" t="s">
        <v>111</v>
      </c>
      <c r="F9" s="78">
        <f>INSUMOS!B535</f>
        <v>80000</v>
      </c>
      <c r="G9" s="81">
        <f>INSUMOS!E535</f>
        <v>5</v>
      </c>
    </row>
    <row r="10" spans="1:7" x14ac:dyDescent="0.25">
      <c r="A10" s="82" t="s">
        <v>112</v>
      </c>
      <c r="B10" s="83">
        <f>SUM(B3:B9)</f>
        <v>2214750</v>
      </c>
      <c r="C10" s="84">
        <f>SUM(C3:C9)</f>
        <v>32.210565387169666</v>
      </c>
      <c r="E10" s="82" t="s">
        <v>112</v>
      </c>
      <c r="F10" s="83">
        <f>SUM(F3:F9)</f>
        <v>7049188</v>
      </c>
      <c r="G10" s="84">
        <f>SUM(G3:G9)</f>
        <v>168.9731465907974</v>
      </c>
    </row>
    <row r="12" spans="1:7" x14ac:dyDescent="0.25">
      <c r="A12" s="279" t="s">
        <v>198</v>
      </c>
      <c r="B12" s="279"/>
      <c r="C12" s="279"/>
      <c r="E12" s="279" t="s">
        <v>199</v>
      </c>
      <c r="F12" s="279"/>
      <c r="G12" s="279"/>
    </row>
    <row r="13" spans="1:7" x14ac:dyDescent="0.25">
      <c r="A13" s="71" t="s">
        <v>92</v>
      </c>
      <c r="B13" s="71" t="s">
        <v>93</v>
      </c>
      <c r="C13" s="73" t="s">
        <v>94</v>
      </c>
      <c r="E13" s="72" t="s">
        <v>92</v>
      </c>
      <c r="F13" s="72" t="s">
        <v>93</v>
      </c>
      <c r="G13" s="73" t="s">
        <v>94</v>
      </c>
    </row>
    <row r="14" spans="1:7" x14ac:dyDescent="0.25">
      <c r="A14" s="74" t="s">
        <v>200</v>
      </c>
      <c r="B14" s="75">
        <f>INSUMOS!B522</f>
        <v>1400000</v>
      </c>
      <c r="C14" s="76">
        <f>INSUMOS!E445</f>
        <v>43</v>
      </c>
      <c r="E14" s="74" t="s">
        <v>201</v>
      </c>
      <c r="F14" s="75">
        <f>INSUMOS!B482</f>
        <v>4102000</v>
      </c>
      <c r="G14" s="76">
        <f>INSUMOS!E482</f>
        <v>145</v>
      </c>
    </row>
    <row r="15" spans="1:7" x14ac:dyDescent="0.25">
      <c r="A15" s="77" t="s">
        <v>98</v>
      </c>
      <c r="B15" s="78">
        <f>INSUMOS!B112</f>
        <v>96000</v>
      </c>
      <c r="C15" s="79">
        <f>INSUMOS!E112</f>
        <v>2.1982747499999995</v>
      </c>
      <c r="E15" s="77" t="s">
        <v>99</v>
      </c>
      <c r="F15" s="78">
        <f>INSUMOS!B117</f>
        <v>115000</v>
      </c>
      <c r="G15" s="79">
        <f>INSUMOS!E117</f>
        <v>6.1063187499999998</v>
      </c>
    </row>
    <row r="16" spans="1:7" x14ac:dyDescent="0.25">
      <c r="A16" s="77" t="s">
        <v>202</v>
      </c>
      <c r="B16" s="78">
        <f>EJXA!D186</f>
        <v>269500</v>
      </c>
      <c r="C16" s="79">
        <f>EJXA!E154</f>
        <v>23.865922265492141</v>
      </c>
      <c r="E16" s="77" t="s">
        <v>132</v>
      </c>
      <c r="F16" s="78">
        <f>EJXC!D13</f>
        <v>2618025</v>
      </c>
      <c r="G16" s="79">
        <f>EJXC!E13</f>
        <v>50.443000000000005</v>
      </c>
    </row>
    <row r="17" spans="1:7" x14ac:dyDescent="0.25">
      <c r="A17" s="77" t="s">
        <v>168</v>
      </c>
      <c r="B17" s="78">
        <f>AD!D46</f>
        <v>358200</v>
      </c>
      <c r="C17" s="79">
        <f>AD!E46</f>
        <v>7.1597766796476421</v>
      </c>
      <c r="E17" s="77" t="s">
        <v>203</v>
      </c>
      <c r="F17" s="78">
        <f>AB!D13</f>
        <v>647320</v>
      </c>
      <c r="G17" s="79">
        <f>AB!E13</f>
        <v>15.909944312450401</v>
      </c>
    </row>
    <row r="18" spans="1:7" x14ac:dyDescent="0.25">
      <c r="A18" s="77" t="s">
        <v>204</v>
      </c>
      <c r="B18" s="78">
        <f>P!D315</f>
        <v>690000</v>
      </c>
      <c r="C18" s="79">
        <f>P!E315</f>
        <v>12.7</v>
      </c>
      <c r="E18" s="77" t="s">
        <v>205</v>
      </c>
      <c r="F18" s="78">
        <f>P!D335</f>
        <v>2216000</v>
      </c>
      <c r="G18" s="79">
        <f>P!E335</f>
        <v>89.2</v>
      </c>
    </row>
    <row r="19" spans="1:7" x14ac:dyDescent="0.25">
      <c r="A19" s="77" t="s">
        <v>109</v>
      </c>
      <c r="B19" s="78">
        <f>INSUMOS!B537</f>
        <v>50000</v>
      </c>
      <c r="C19" s="80"/>
      <c r="E19" s="77" t="s">
        <v>109</v>
      </c>
      <c r="F19" s="78">
        <f>INSUMOS!B537</f>
        <v>50000</v>
      </c>
      <c r="G19" s="80"/>
    </row>
    <row r="20" spans="1:7" x14ac:dyDescent="0.25">
      <c r="A20" s="77" t="s">
        <v>110</v>
      </c>
      <c r="B20" s="78">
        <f>INSUMOS!B534</f>
        <v>50000</v>
      </c>
      <c r="C20" s="81">
        <f>INSUMOS!E534</f>
        <v>3</v>
      </c>
      <c r="E20" s="77" t="s">
        <v>172</v>
      </c>
      <c r="F20" s="78">
        <f>INSUMOS!B536</f>
        <v>120000</v>
      </c>
      <c r="G20" s="81">
        <f>INSUMOS!E536</f>
        <v>9</v>
      </c>
    </row>
    <row r="21" spans="1:7" x14ac:dyDescent="0.25">
      <c r="A21" s="82" t="s">
        <v>112</v>
      </c>
      <c r="B21" s="83">
        <f>SUM(B14:B20)</f>
        <v>2913700</v>
      </c>
      <c r="C21" s="84">
        <f>SUM(C14:C20)</f>
        <v>91.923973695139793</v>
      </c>
      <c r="E21" s="82" t="s">
        <v>112</v>
      </c>
      <c r="F21" s="83">
        <f>SUM(F14:F20)</f>
        <v>9868345</v>
      </c>
      <c r="G21" s="84">
        <f>SUM(G14:G20)</f>
        <v>315.65926306245041</v>
      </c>
    </row>
    <row r="23" spans="1:7" x14ac:dyDescent="0.25">
      <c r="A23" s="279" t="s">
        <v>206</v>
      </c>
      <c r="B23" s="279"/>
      <c r="C23" s="279"/>
      <c r="E23" s="279" t="s">
        <v>207</v>
      </c>
      <c r="F23" s="279"/>
      <c r="G23" s="279"/>
    </row>
    <row r="24" spans="1:7" x14ac:dyDescent="0.25">
      <c r="A24" s="72" t="s">
        <v>92</v>
      </c>
      <c r="B24" s="72" t="s">
        <v>93</v>
      </c>
      <c r="C24" s="73" t="s">
        <v>94</v>
      </c>
      <c r="E24" s="71" t="s">
        <v>92</v>
      </c>
      <c r="F24" s="71" t="s">
        <v>93</v>
      </c>
      <c r="G24" s="73" t="s">
        <v>94</v>
      </c>
    </row>
    <row r="25" spans="1:7" x14ac:dyDescent="0.25">
      <c r="A25" s="74" t="s">
        <v>208</v>
      </c>
      <c r="B25" s="75">
        <f>INSUMOS!B445</f>
        <v>1882100.0000000002</v>
      </c>
      <c r="C25" s="76">
        <f>INSUMOS!E445</f>
        <v>43</v>
      </c>
      <c r="E25" s="74" t="s">
        <v>209</v>
      </c>
      <c r="F25" s="75">
        <f>INSUMOS!B482</f>
        <v>4102000</v>
      </c>
      <c r="G25" s="76">
        <f>INSUMOS!E482</f>
        <v>145</v>
      </c>
    </row>
    <row r="26" spans="1:7" x14ac:dyDescent="0.25">
      <c r="A26" s="77" t="s">
        <v>98</v>
      </c>
      <c r="B26" s="78">
        <f>INSUMOS!B112</f>
        <v>96000</v>
      </c>
      <c r="C26" s="79">
        <f>INSUMOS!E112</f>
        <v>2.1982747499999995</v>
      </c>
      <c r="E26" s="77" t="s">
        <v>99</v>
      </c>
      <c r="F26" s="78">
        <f>INSUMOS!B117</f>
        <v>115000</v>
      </c>
      <c r="G26" s="79">
        <f>INSUMOS!E117</f>
        <v>6.1063187499999998</v>
      </c>
    </row>
    <row r="27" spans="1:7" x14ac:dyDescent="0.25">
      <c r="A27" s="77" t="s">
        <v>210</v>
      </c>
      <c r="B27" s="78">
        <f>EJXA!D161</f>
        <v>409640</v>
      </c>
      <c r="C27" s="79">
        <f>EJXA!E161</f>
        <v>34.366928062308688</v>
      </c>
      <c r="E27" s="77" t="s">
        <v>132</v>
      </c>
      <c r="F27" s="78">
        <f>EJXC!D13</f>
        <v>2618025</v>
      </c>
      <c r="G27" s="79">
        <f>EJXC!E13</f>
        <v>50.443000000000005</v>
      </c>
    </row>
    <row r="28" spans="1:7" x14ac:dyDescent="0.25">
      <c r="A28" s="77" t="s">
        <v>168</v>
      </c>
      <c r="B28" s="78">
        <f>AD!D46</f>
        <v>358200</v>
      </c>
      <c r="C28" s="79">
        <f>AD!E46</f>
        <v>7.1597766796476421</v>
      </c>
      <c r="E28" s="77" t="s">
        <v>203</v>
      </c>
      <c r="F28" s="78">
        <f>AB!D13</f>
        <v>647320</v>
      </c>
      <c r="G28" s="79">
        <f>AB!E13</f>
        <v>15.909944312450401</v>
      </c>
    </row>
    <row r="29" spans="1:7" x14ac:dyDescent="0.25">
      <c r="A29" s="77" t="s">
        <v>211</v>
      </c>
      <c r="B29" s="78">
        <f>P!D325</f>
        <v>820000</v>
      </c>
      <c r="C29" s="79">
        <f>P!E325</f>
        <v>39.4</v>
      </c>
      <c r="E29" s="77" t="s">
        <v>212</v>
      </c>
      <c r="F29" s="78">
        <f>P!D346</f>
        <v>2670000</v>
      </c>
      <c r="G29" s="79">
        <f>P!E346</f>
        <v>108.4</v>
      </c>
    </row>
    <row r="30" spans="1:7" x14ac:dyDescent="0.25">
      <c r="A30" s="77" t="s">
        <v>109</v>
      </c>
      <c r="B30" s="78">
        <f>INSUMOS!B537</f>
        <v>50000</v>
      </c>
      <c r="C30" s="80"/>
      <c r="E30" s="77" t="s">
        <v>109</v>
      </c>
      <c r="F30" s="78">
        <f>INSUMOS!B537</f>
        <v>50000</v>
      </c>
      <c r="G30" s="80"/>
    </row>
    <row r="31" spans="1:7" x14ac:dyDescent="0.25">
      <c r="A31" s="77" t="s">
        <v>110</v>
      </c>
      <c r="B31" s="78">
        <f>INSUMOS!B534</f>
        <v>50000</v>
      </c>
      <c r="C31" s="81">
        <f>INSUMOS!E534</f>
        <v>3</v>
      </c>
      <c r="E31" s="77" t="s">
        <v>172</v>
      </c>
      <c r="F31" s="78">
        <f>INSUMOS!B536</f>
        <v>120000</v>
      </c>
      <c r="G31" s="81">
        <f>INSUMOS!E536</f>
        <v>9</v>
      </c>
    </row>
    <row r="32" spans="1:7" x14ac:dyDescent="0.25">
      <c r="A32" s="82" t="s">
        <v>112</v>
      </c>
      <c r="B32" s="83">
        <f>SUM(B25:B31)</f>
        <v>3665940</v>
      </c>
      <c r="C32" s="84">
        <f>SUM(C25:C31)</f>
        <v>129.12497949195634</v>
      </c>
      <c r="E32" s="82" t="s">
        <v>112</v>
      </c>
      <c r="F32" s="83">
        <f>SUM(F25:F31)</f>
        <v>10322345</v>
      </c>
      <c r="G32" s="84">
        <f>SUM(G25:G31)</f>
        <v>334.8592630624504</v>
      </c>
    </row>
  </sheetData>
  <mergeCells count="6">
    <mergeCell ref="A1:C1"/>
    <mergeCell ref="E1:G1"/>
    <mergeCell ref="A12:C12"/>
    <mergeCell ref="E12:G12"/>
    <mergeCell ref="A23:C23"/>
    <mergeCell ref="E23:G23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59"/>
  <sheetViews>
    <sheetView topLeftCell="A34" zoomScaleNormal="100" workbookViewId="0">
      <selection activeCell="I49" sqref="I49"/>
    </sheetView>
  </sheetViews>
  <sheetFormatPr baseColWidth="10" defaultColWidth="9.140625" defaultRowHeight="15" x14ac:dyDescent="0.25"/>
  <cols>
    <col min="1" max="1" width="9.140625" customWidth="1"/>
    <col min="2" max="2" width="33.7109375" customWidth="1"/>
    <col min="3" max="3" width="11.42578125"/>
    <col min="4" max="1025" width="9.140625" customWidth="1"/>
  </cols>
  <sheetData>
    <row r="2" spans="2:4" x14ac:dyDescent="0.25">
      <c r="B2" s="279" t="s">
        <v>213</v>
      </c>
      <c r="C2" s="279"/>
      <c r="D2" s="279"/>
    </row>
    <row r="3" spans="2:4" x14ac:dyDescent="0.25">
      <c r="B3" s="72" t="s">
        <v>92</v>
      </c>
      <c r="C3" s="72" t="s">
        <v>93</v>
      </c>
      <c r="D3" s="73" t="s">
        <v>94</v>
      </c>
    </row>
    <row r="4" spans="2:4" x14ac:dyDescent="0.25">
      <c r="B4" s="74" t="s">
        <v>214</v>
      </c>
      <c r="C4" s="75">
        <f>INSUMOS!B531</f>
        <v>950000</v>
      </c>
      <c r="D4" s="76">
        <f>INSUMOS!E531</f>
        <v>25</v>
      </c>
    </row>
    <row r="5" spans="2:4" x14ac:dyDescent="0.25">
      <c r="B5" s="77" t="s">
        <v>98</v>
      </c>
      <c r="C5" s="78">
        <f>INSUMOS!B112</f>
        <v>96000</v>
      </c>
      <c r="D5" s="79">
        <f>INSUMOS!E112</f>
        <v>2.1982747499999995</v>
      </c>
    </row>
    <row r="6" spans="2:4" x14ac:dyDescent="0.25">
      <c r="B6" s="77" t="s">
        <v>215</v>
      </c>
      <c r="C6" s="78">
        <f>EJXA!D174</f>
        <v>108750</v>
      </c>
      <c r="D6" s="79">
        <f>EJXA!E174</f>
        <v>4.9720671386441957</v>
      </c>
    </row>
    <row r="7" spans="2:4" x14ac:dyDescent="0.25">
      <c r="B7" s="77" t="s">
        <v>103</v>
      </c>
      <c r="C7" s="78">
        <f>AD!D5</f>
        <v>197400</v>
      </c>
      <c r="D7" s="79">
        <f>AD!E5</f>
        <v>1.7899441699119105</v>
      </c>
    </row>
    <row r="8" spans="2:4" x14ac:dyDescent="0.25">
      <c r="B8" s="77" t="s">
        <v>216</v>
      </c>
      <c r="C8" s="78">
        <f>P!B58</f>
        <v>0</v>
      </c>
      <c r="D8" s="79">
        <f>P!E58</f>
        <v>2.2424581274339328</v>
      </c>
    </row>
    <row r="9" spans="2:4" x14ac:dyDescent="0.25">
      <c r="B9" s="77" t="s">
        <v>217</v>
      </c>
      <c r="C9" s="78">
        <f>P!B187</f>
        <v>0</v>
      </c>
      <c r="D9" s="79">
        <f>P!E187</f>
        <v>2.2424581274339328</v>
      </c>
    </row>
    <row r="10" spans="2:4" x14ac:dyDescent="0.25">
      <c r="B10" s="77" t="s">
        <v>109</v>
      </c>
      <c r="C10" s="78">
        <f>INSUMOS!B537</f>
        <v>50000</v>
      </c>
      <c r="D10" s="80"/>
    </row>
    <row r="11" spans="2:4" x14ac:dyDescent="0.25">
      <c r="B11" s="77" t="s">
        <v>110</v>
      </c>
      <c r="C11" s="78">
        <f>INSUMOS!B534</f>
        <v>50000</v>
      </c>
      <c r="D11" s="81">
        <f>INSUMOS!I535</f>
        <v>0</v>
      </c>
    </row>
    <row r="12" spans="2:4" x14ac:dyDescent="0.25">
      <c r="B12" s="82" t="s">
        <v>112</v>
      </c>
      <c r="C12" s="83">
        <f>SUM(C4:C11)</f>
        <v>1452150</v>
      </c>
      <c r="D12" s="84">
        <f>SUM(D4:D11)</f>
        <v>38.445202313423977</v>
      </c>
    </row>
    <row r="15" spans="2:4" x14ac:dyDescent="0.25">
      <c r="B15" s="279" t="s">
        <v>218</v>
      </c>
      <c r="C15" s="279"/>
      <c r="D15" s="279"/>
    </row>
    <row r="16" spans="2:4" x14ac:dyDescent="0.25">
      <c r="B16" s="72" t="s">
        <v>92</v>
      </c>
      <c r="C16" s="72" t="s">
        <v>93</v>
      </c>
      <c r="D16" s="73" t="s">
        <v>94</v>
      </c>
    </row>
    <row r="17" spans="2:4" x14ac:dyDescent="0.25">
      <c r="B17" s="74" t="s">
        <v>187</v>
      </c>
      <c r="C17" s="75">
        <f>INSUMOS!B524</f>
        <v>850000</v>
      </c>
      <c r="D17" s="76">
        <f>INSUMOS!E424</f>
        <v>9</v>
      </c>
    </row>
    <row r="18" spans="2:4" x14ac:dyDescent="0.25">
      <c r="B18" s="77" t="s">
        <v>188</v>
      </c>
      <c r="C18" s="78">
        <f>INSUMOS!B111</f>
        <v>90000</v>
      </c>
      <c r="D18" s="79">
        <f>INSUMOS!E111</f>
        <v>1.44059275</v>
      </c>
    </row>
    <row r="19" spans="2:4" x14ac:dyDescent="0.25">
      <c r="B19" s="77" t="s">
        <v>100</v>
      </c>
      <c r="C19" s="78">
        <f>EJXA!D5</f>
        <v>85350</v>
      </c>
      <c r="D19" s="79">
        <f>EJXA!E5</f>
        <v>2.5854749120949823</v>
      </c>
    </row>
    <row r="20" spans="2:4" x14ac:dyDescent="0.25">
      <c r="B20" s="77" t="s">
        <v>103</v>
      </c>
      <c r="C20" s="78">
        <f>AD!D5</f>
        <v>197400</v>
      </c>
      <c r="D20" s="79">
        <f>EJXA!E5</f>
        <v>2.5854749120949823</v>
      </c>
    </row>
    <row r="21" spans="2:4" x14ac:dyDescent="0.25">
      <c r="B21" s="77" t="s">
        <v>106</v>
      </c>
      <c r="C21" s="78">
        <f>P!D8</f>
        <v>391250</v>
      </c>
      <c r="D21" s="79">
        <f>P!E8</f>
        <v>2.3124581274339331</v>
      </c>
    </row>
    <row r="22" spans="2:4" x14ac:dyDescent="0.25">
      <c r="B22" s="77" t="s">
        <v>219</v>
      </c>
      <c r="C22" s="78">
        <f>P!D197</f>
        <v>451250</v>
      </c>
      <c r="D22" s="79">
        <f>P!E197</f>
        <v>2.942458127433933</v>
      </c>
    </row>
    <row r="23" spans="2:4" x14ac:dyDescent="0.25">
      <c r="B23" s="77" t="s">
        <v>109</v>
      </c>
      <c r="C23" s="78">
        <f>INSUMOS!B537</f>
        <v>50000</v>
      </c>
      <c r="D23" s="80"/>
    </row>
    <row r="24" spans="2:4" x14ac:dyDescent="0.25">
      <c r="B24" s="77" t="s">
        <v>110</v>
      </c>
      <c r="C24" s="78">
        <f>INSUMOS!B534</f>
        <v>50000</v>
      </c>
      <c r="D24" s="81">
        <f>INSUMOS!E534</f>
        <v>3</v>
      </c>
    </row>
    <row r="25" spans="2:4" x14ac:dyDescent="0.25">
      <c r="B25" s="82" t="s">
        <v>112</v>
      </c>
      <c r="C25" s="83">
        <f>SUM(C17:C24)</f>
        <v>2165250</v>
      </c>
      <c r="D25" s="84">
        <f>SUM(D17:D24)</f>
        <v>23.86645882905783</v>
      </c>
    </row>
    <row r="28" spans="2:4" x14ac:dyDescent="0.25">
      <c r="B28" s="279" t="s">
        <v>186</v>
      </c>
      <c r="C28" s="279"/>
      <c r="D28" s="279"/>
    </row>
    <row r="29" spans="2:4" x14ac:dyDescent="0.25">
      <c r="B29" s="72" t="s">
        <v>92</v>
      </c>
      <c r="C29" s="72" t="s">
        <v>93</v>
      </c>
      <c r="D29" s="73" t="s">
        <v>94</v>
      </c>
    </row>
    <row r="30" spans="2:4" x14ac:dyDescent="0.25">
      <c r="B30" s="74" t="s">
        <v>187</v>
      </c>
      <c r="C30" s="75">
        <f>INSUMOS!B524</f>
        <v>850000</v>
      </c>
      <c r="D30" s="76">
        <f>INSUMOS!E524</f>
        <v>9</v>
      </c>
    </row>
    <row r="31" spans="2:4" x14ac:dyDescent="0.25">
      <c r="B31" s="77" t="s">
        <v>188</v>
      </c>
      <c r="C31" s="78">
        <f>INSUMOS!B111</f>
        <v>90000</v>
      </c>
      <c r="D31" s="79">
        <f>INSUMOS!E111</f>
        <v>1.44059275</v>
      </c>
    </row>
    <row r="32" spans="2:4" x14ac:dyDescent="0.25">
      <c r="B32" s="77" t="s">
        <v>100</v>
      </c>
      <c r="C32" s="78">
        <f>EJXA!D5</f>
        <v>85350</v>
      </c>
      <c r="D32" s="79">
        <f>EJXA!E5</f>
        <v>2.5854749120949823</v>
      </c>
    </row>
    <row r="33" spans="2:4" x14ac:dyDescent="0.25">
      <c r="B33" s="77" t="s">
        <v>103</v>
      </c>
      <c r="C33" s="78">
        <f>AD!D5</f>
        <v>197400</v>
      </c>
      <c r="D33" s="79">
        <f>EJXA!E5</f>
        <v>2.5854749120949823</v>
      </c>
    </row>
    <row r="34" spans="2:4" x14ac:dyDescent="0.25">
      <c r="B34" s="77" t="s">
        <v>219</v>
      </c>
      <c r="C34" s="78">
        <f>P!D197</f>
        <v>451250</v>
      </c>
      <c r="D34" s="79">
        <f>P!E197</f>
        <v>2.942458127433933</v>
      </c>
    </row>
    <row r="35" spans="2:4" x14ac:dyDescent="0.25">
      <c r="B35" s="77" t="s">
        <v>109</v>
      </c>
      <c r="C35" s="78">
        <f>INSUMOS!B537</f>
        <v>50000</v>
      </c>
      <c r="D35" s="80"/>
    </row>
    <row r="36" spans="2:4" x14ac:dyDescent="0.25">
      <c r="B36" s="77" t="s">
        <v>110</v>
      </c>
      <c r="C36" s="78">
        <f>INSUMOS!B534</f>
        <v>50000</v>
      </c>
      <c r="D36" s="81">
        <f>INSUMOS!E534</f>
        <v>3</v>
      </c>
    </row>
    <row r="37" spans="2:4" x14ac:dyDescent="0.25">
      <c r="B37" s="82" t="s">
        <v>112</v>
      </c>
      <c r="C37" s="83">
        <f>SUM(C30:C36)</f>
        <v>1774000</v>
      </c>
      <c r="D37" s="84">
        <f>SUM(D30:D36)</f>
        <v>21.554000701623899</v>
      </c>
    </row>
    <row r="39" spans="2:4" x14ac:dyDescent="0.25">
      <c r="B39" s="279" t="s">
        <v>220</v>
      </c>
      <c r="C39" s="279"/>
      <c r="D39" s="279"/>
    </row>
    <row r="40" spans="2:4" x14ac:dyDescent="0.25">
      <c r="B40" s="72" t="s">
        <v>92</v>
      </c>
      <c r="C40" s="72" t="s">
        <v>93</v>
      </c>
      <c r="D40" s="73" t="s">
        <v>94</v>
      </c>
    </row>
    <row r="41" spans="2:4" x14ac:dyDescent="0.25">
      <c r="B41" s="74" t="s">
        <v>221</v>
      </c>
      <c r="C41" s="75">
        <f>INSUMOS!B520</f>
        <v>800000</v>
      </c>
      <c r="D41" s="76">
        <f>INSUMOS!E520</f>
        <v>12</v>
      </c>
    </row>
    <row r="42" spans="2:4" x14ac:dyDescent="0.25">
      <c r="B42" s="77" t="s">
        <v>188</v>
      </c>
      <c r="C42" s="78">
        <f>INSUMOS!B111</f>
        <v>90000</v>
      </c>
      <c r="D42" s="79">
        <f>INSUMOS!E111</f>
        <v>1.44059275</v>
      </c>
    </row>
    <row r="43" spans="2:4" x14ac:dyDescent="0.25">
      <c r="B43" s="77" t="s">
        <v>118</v>
      </c>
      <c r="C43" s="78">
        <f>EJXA!D12</f>
        <v>95100</v>
      </c>
      <c r="D43" s="79">
        <f>EJXA!E12</f>
        <v>3.5798883398238215</v>
      </c>
    </row>
    <row r="44" spans="2:4" x14ac:dyDescent="0.25">
      <c r="B44" s="77" t="s">
        <v>103</v>
      </c>
      <c r="C44" s="78">
        <f>AD!D5</f>
        <v>197400</v>
      </c>
      <c r="D44" s="79">
        <f>AD!E5</f>
        <v>1.7899441699119105</v>
      </c>
    </row>
    <row r="45" spans="2:4" x14ac:dyDescent="0.25">
      <c r="B45" s="77" t="s">
        <v>222</v>
      </c>
      <c r="C45" s="78">
        <f>P!D434</f>
        <v>576250</v>
      </c>
      <c r="D45" s="79">
        <f>P!E208</f>
        <v>0</v>
      </c>
    </row>
    <row r="46" spans="2:4" x14ac:dyDescent="0.25">
      <c r="B46" s="77" t="s">
        <v>109</v>
      </c>
      <c r="C46" s="78">
        <f>INSUMOS!B537</f>
        <v>50000</v>
      </c>
      <c r="D46" s="80"/>
    </row>
    <row r="47" spans="2:4" x14ac:dyDescent="0.25">
      <c r="B47" s="77" t="s">
        <v>110</v>
      </c>
      <c r="C47" s="78">
        <f>INSUMOS!B534</f>
        <v>50000</v>
      </c>
      <c r="D47" s="81">
        <f>INSUMOS!E534</f>
        <v>3</v>
      </c>
    </row>
    <row r="48" spans="2:4" x14ac:dyDescent="0.25">
      <c r="B48" s="82" t="s">
        <v>112</v>
      </c>
      <c r="C48" s="83">
        <f>SUM(C41:C47)</f>
        <v>1858750</v>
      </c>
      <c r="D48" s="84">
        <f>SUM(D41:D47)</f>
        <v>21.81042525973573</v>
      </c>
    </row>
    <row r="50" spans="2:4" x14ac:dyDescent="0.25">
      <c r="B50" s="279" t="s">
        <v>223</v>
      </c>
      <c r="C50" s="279"/>
      <c r="D50" s="279"/>
    </row>
    <row r="51" spans="2:4" x14ac:dyDescent="0.25">
      <c r="B51" s="72" t="s">
        <v>92</v>
      </c>
      <c r="C51" s="72" t="s">
        <v>93</v>
      </c>
      <c r="D51" s="73" t="s">
        <v>94</v>
      </c>
    </row>
    <row r="52" spans="2:4" x14ac:dyDescent="0.25">
      <c r="B52" s="74" t="s">
        <v>221</v>
      </c>
      <c r="C52" s="75">
        <f>INSUMOS!B520</f>
        <v>800000</v>
      </c>
      <c r="D52" s="76">
        <f>INSUMOS!E520</f>
        <v>12</v>
      </c>
    </row>
    <row r="53" spans="2:4" x14ac:dyDescent="0.25">
      <c r="B53" s="77" t="s">
        <v>188</v>
      </c>
      <c r="C53" s="78">
        <f>INSUMOS!B111</f>
        <v>90000</v>
      </c>
      <c r="D53" s="79">
        <f>INSUMOS!E111</f>
        <v>1.44059275</v>
      </c>
    </row>
    <row r="54" spans="2:4" x14ac:dyDescent="0.25">
      <c r="B54" s="77" t="s">
        <v>118</v>
      </c>
      <c r="C54" s="78">
        <f>EJXA!D12</f>
        <v>95100</v>
      </c>
      <c r="D54" s="79">
        <f>EJXA!E12</f>
        <v>3.5798883398238215</v>
      </c>
    </row>
    <row r="55" spans="2:4" x14ac:dyDescent="0.25">
      <c r="B55" s="77" t="s">
        <v>103</v>
      </c>
      <c r="C55" s="78">
        <f>AD!D5</f>
        <v>197400</v>
      </c>
      <c r="D55" s="79">
        <f>AD!E5</f>
        <v>1.7899441699119105</v>
      </c>
    </row>
    <row r="56" spans="2:4" x14ac:dyDescent="0.25">
      <c r="B56" s="77" t="s">
        <v>224</v>
      </c>
      <c r="C56" s="78">
        <f>P!D306</f>
        <v>526250</v>
      </c>
      <c r="D56" s="79">
        <f>P!E306</f>
        <v>5.6424581274339332</v>
      </c>
    </row>
    <row r="57" spans="2:4" x14ac:dyDescent="0.25">
      <c r="B57" s="77" t="s">
        <v>109</v>
      </c>
      <c r="C57" s="78">
        <f>INSUMOS!B537</f>
        <v>50000</v>
      </c>
      <c r="D57" s="80"/>
    </row>
    <row r="58" spans="2:4" x14ac:dyDescent="0.25">
      <c r="B58" s="77" t="s">
        <v>110</v>
      </c>
      <c r="C58" s="78">
        <f>INSUMOS!B534</f>
        <v>50000</v>
      </c>
      <c r="D58" s="81">
        <f>INSUMOS!E534</f>
        <v>3</v>
      </c>
    </row>
    <row r="59" spans="2:4" x14ac:dyDescent="0.25">
      <c r="B59" s="82" t="s">
        <v>112</v>
      </c>
      <c r="C59" s="83">
        <f>SUM(C52:C58)</f>
        <v>1808750</v>
      </c>
      <c r="D59" s="84">
        <f>SUM(D52:D58)</f>
        <v>27.452883387169663</v>
      </c>
    </row>
  </sheetData>
  <mergeCells count="5">
    <mergeCell ref="B2:D2"/>
    <mergeCell ref="B15:D15"/>
    <mergeCell ref="B28:D28"/>
    <mergeCell ref="B39:D39"/>
    <mergeCell ref="B50:D50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6"/>
  <sheetViews>
    <sheetView topLeftCell="A72" zoomScale="85" zoomScaleNormal="85" workbookViewId="0">
      <selection activeCell="A236" sqref="A236"/>
    </sheetView>
  </sheetViews>
  <sheetFormatPr baseColWidth="10" defaultColWidth="9.140625" defaultRowHeight="15" x14ac:dyDescent="0.25"/>
  <cols>
    <col min="1" max="1" width="38.28515625" customWidth="1"/>
    <col min="2" max="2" width="16.42578125" customWidth="1"/>
    <col min="3" max="3" width="10" customWidth="1"/>
    <col min="4" max="4" width="12.42578125" customWidth="1"/>
    <col min="5" max="6" width="9.140625" customWidth="1"/>
    <col min="7" max="7" width="27.42578125" customWidth="1"/>
    <col min="8" max="8" width="10" customWidth="1"/>
    <col min="9" max="10" width="9.140625" customWidth="1"/>
    <col min="11" max="11" width="27.42578125" customWidth="1"/>
    <col min="12" max="12" width="10" customWidth="1"/>
    <col min="13" max="14" width="9.140625" customWidth="1"/>
    <col min="15" max="15" width="27.42578125" customWidth="1"/>
    <col min="16" max="16" width="10" customWidth="1"/>
    <col min="17" max="1025" width="9.140625" customWidth="1"/>
  </cols>
  <sheetData>
    <row r="1" spans="1:5" x14ac:dyDescent="0.25">
      <c r="A1" s="279" t="s">
        <v>225</v>
      </c>
      <c r="B1" s="279"/>
      <c r="C1" s="279"/>
      <c r="D1" s="279"/>
      <c r="E1" s="279"/>
    </row>
    <row r="2" spans="1:5" x14ac:dyDescent="0.25">
      <c r="A2" s="71" t="s">
        <v>92</v>
      </c>
      <c r="B2" s="71" t="s">
        <v>226</v>
      </c>
      <c r="C2" s="71" t="s">
        <v>227</v>
      </c>
      <c r="D2" s="71" t="s">
        <v>228</v>
      </c>
      <c r="E2" s="73" t="s">
        <v>229</v>
      </c>
    </row>
    <row r="3" spans="1:5" x14ac:dyDescent="0.25">
      <c r="A3" s="94" t="s">
        <v>230</v>
      </c>
      <c r="B3" s="78">
        <f>INSUMOS!B2</f>
        <v>39000</v>
      </c>
      <c r="C3" s="95">
        <v>0.65</v>
      </c>
      <c r="D3" s="96">
        <f>C3*B3</f>
        <v>25350</v>
      </c>
      <c r="E3" s="97">
        <f>C3*INSUMOS!E2</f>
        <v>2.5854749120949823</v>
      </c>
    </row>
    <row r="4" spans="1:5" x14ac:dyDescent="0.25">
      <c r="A4" s="94" t="s">
        <v>231</v>
      </c>
      <c r="B4" s="78">
        <f>INSUMOS!B259</f>
        <v>60000</v>
      </c>
      <c r="C4" s="98">
        <v>1</v>
      </c>
      <c r="D4" s="96">
        <f>C4*B4</f>
        <v>60000</v>
      </c>
      <c r="E4" s="99" t="s">
        <v>232</v>
      </c>
    </row>
    <row r="5" spans="1:5" x14ac:dyDescent="0.25">
      <c r="A5" s="82"/>
      <c r="B5" s="83"/>
      <c r="C5" s="82" t="s">
        <v>122</v>
      </c>
      <c r="D5" s="83">
        <f>SUM(D3:D4)</f>
        <v>85350</v>
      </c>
      <c r="E5" s="100">
        <f>SUM(E3:E4)</f>
        <v>2.5854749120949823</v>
      </c>
    </row>
    <row r="8" spans="1:5" x14ac:dyDescent="0.25">
      <c r="A8" s="279" t="s">
        <v>233</v>
      </c>
      <c r="B8" s="279"/>
      <c r="C8" s="279"/>
      <c r="D8" s="279"/>
      <c r="E8" s="279"/>
    </row>
    <row r="9" spans="1:5" x14ac:dyDescent="0.25">
      <c r="A9" s="71" t="s">
        <v>92</v>
      </c>
      <c r="B9" s="71" t="s">
        <v>93</v>
      </c>
      <c r="C9" s="71"/>
      <c r="D9" s="71"/>
      <c r="E9" s="73" t="s">
        <v>229</v>
      </c>
    </row>
    <row r="10" spans="1:5" x14ac:dyDescent="0.25">
      <c r="A10" s="94" t="s">
        <v>234</v>
      </c>
      <c r="B10" s="78">
        <f>INSUMOS!B2</f>
        <v>39000</v>
      </c>
      <c r="C10" s="95">
        <v>0.9</v>
      </c>
      <c r="D10" s="96">
        <f>C10*B10</f>
        <v>35100</v>
      </c>
      <c r="E10" s="97">
        <f>C10*INSUMOS!E2</f>
        <v>3.5798883398238215</v>
      </c>
    </row>
    <row r="11" spans="1:5" x14ac:dyDescent="0.25">
      <c r="A11" s="94" t="s">
        <v>231</v>
      </c>
      <c r="B11" s="78">
        <f>INSUMOS!B259</f>
        <v>60000</v>
      </c>
      <c r="C11" s="98">
        <v>1</v>
      </c>
      <c r="D11" s="96">
        <f>C11*B11</f>
        <v>60000</v>
      </c>
      <c r="E11" s="99" t="s">
        <v>232</v>
      </c>
    </row>
    <row r="12" spans="1:5" x14ac:dyDescent="0.25">
      <c r="A12" s="82"/>
      <c r="B12" s="83"/>
      <c r="C12" s="82" t="s">
        <v>122</v>
      </c>
      <c r="D12" s="83">
        <f>SUM(D10:D11)</f>
        <v>95100</v>
      </c>
      <c r="E12" s="100">
        <f>SUM(E10:E11)</f>
        <v>3.5798883398238215</v>
      </c>
    </row>
    <row r="15" spans="1:5" x14ac:dyDescent="0.25">
      <c r="A15" s="279" t="s">
        <v>235</v>
      </c>
      <c r="B15" s="279"/>
      <c r="C15" s="279"/>
      <c r="D15" s="279"/>
      <c r="E15" s="279"/>
    </row>
    <row r="16" spans="1:5" x14ac:dyDescent="0.25">
      <c r="A16" s="72" t="s">
        <v>92</v>
      </c>
      <c r="B16" s="72" t="s">
        <v>93</v>
      </c>
      <c r="C16" s="71" t="s">
        <v>227</v>
      </c>
      <c r="D16" s="71" t="s">
        <v>228</v>
      </c>
      <c r="E16" s="73" t="s">
        <v>229</v>
      </c>
    </row>
    <row r="17" spans="1:5" x14ac:dyDescent="0.25">
      <c r="A17" s="94" t="s">
        <v>236</v>
      </c>
      <c r="B17" s="78">
        <f>INSUMOS!B3</f>
        <v>64000</v>
      </c>
      <c r="C17" s="95">
        <v>1.0900000000000001</v>
      </c>
      <c r="D17" s="96">
        <f>C17*B17</f>
        <v>69760</v>
      </c>
      <c r="E17" s="97">
        <f>C17*INSUMOS!E3</f>
        <v>6.7744414764027194</v>
      </c>
    </row>
    <row r="18" spans="1:5" x14ac:dyDescent="0.25">
      <c r="A18" s="94" t="s">
        <v>237</v>
      </c>
      <c r="B18" s="78">
        <f>INSUMOS!B260</f>
        <v>60000</v>
      </c>
      <c r="C18" s="98">
        <v>1</v>
      </c>
      <c r="D18" s="96">
        <f>C18*B18</f>
        <v>60000</v>
      </c>
      <c r="E18" s="99" t="s">
        <v>232</v>
      </c>
    </row>
    <row r="19" spans="1:5" x14ac:dyDescent="0.25">
      <c r="A19" s="82"/>
      <c r="B19" s="83"/>
      <c r="C19" s="82" t="s">
        <v>122</v>
      </c>
      <c r="D19" s="83">
        <f>SUM(D17:D18)</f>
        <v>129760</v>
      </c>
      <c r="E19" s="100">
        <f>SUM(E17:E18)</f>
        <v>6.7744414764027194</v>
      </c>
    </row>
    <row r="22" spans="1:5" x14ac:dyDescent="0.25">
      <c r="A22" s="279" t="s">
        <v>238</v>
      </c>
      <c r="B22" s="279"/>
      <c r="C22" s="279"/>
      <c r="D22" s="279"/>
      <c r="E22" s="279"/>
    </row>
    <row r="23" spans="1:5" x14ac:dyDescent="0.25">
      <c r="A23" s="72" t="s">
        <v>92</v>
      </c>
      <c r="B23" s="72" t="s">
        <v>93</v>
      </c>
      <c r="C23" s="71" t="s">
        <v>227</v>
      </c>
      <c r="D23" s="71" t="s">
        <v>228</v>
      </c>
      <c r="E23" s="73" t="s">
        <v>229</v>
      </c>
    </row>
    <row r="24" spans="1:5" x14ac:dyDescent="0.25">
      <c r="A24" s="94" t="s">
        <v>239</v>
      </c>
      <c r="B24" s="78">
        <f>INSUMOS!B3</f>
        <v>64000</v>
      </c>
      <c r="C24" s="95">
        <v>1.45</v>
      </c>
      <c r="D24" s="96">
        <f>C24*B24</f>
        <v>92800</v>
      </c>
      <c r="E24" s="97">
        <f>C24*INSUMOS!E3</f>
        <v>9.0118716887926062</v>
      </c>
    </row>
    <row r="25" spans="1:5" x14ac:dyDescent="0.25">
      <c r="A25" s="94" t="s">
        <v>237</v>
      </c>
      <c r="B25" s="78">
        <f>INSUMOS!B260</f>
        <v>60000</v>
      </c>
      <c r="C25" s="98">
        <v>1</v>
      </c>
      <c r="D25" s="96">
        <f>C25*B25</f>
        <v>60000</v>
      </c>
      <c r="E25" s="99" t="s">
        <v>232</v>
      </c>
    </row>
    <row r="26" spans="1:5" x14ac:dyDescent="0.25">
      <c r="A26" s="82"/>
      <c r="B26" s="83"/>
      <c r="C26" s="82" t="s">
        <v>122</v>
      </c>
      <c r="D26" s="83">
        <f>SUM(D24:D25)</f>
        <v>152800</v>
      </c>
      <c r="E26" s="100">
        <f>SUM(E24:E25)</f>
        <v>9.0118716887926062</v>
      </c>
    </row>
    <row r="27" spans="1:5" x14ac:dyDescent="0.25">
      <c r="B27" s="101"/>
      <c r="C27" s="101"/>
      <c r="D27" s="101"/>
      <c r="E27" s="101"/>
    </row>
    <row r="29" spans="1:5" x14ac:dyDescent="0.25">
      <c r="A29" s="279" t="s">
        <v>240</v>
      </c>
      <c r="B29" s="279"/>
      <c r="C29" s="279"/>
      <c r="D29" s="279"/>
      <c r="E29" s="279"/>
    </row>
    <row r="30" spans="1:5" x14ac:dyDescent="0.25">
      <c r="A30" s="72" t="s">
        <v>92</v>
      </c>
      <c r="B30" s="72" t="s">
        <v>93</v>
      </c>
      <c r="C30" s="71" t="s">
        <v>227</v>
      </c>
      <c r="D30" s="71" t="s">
        <v>228</v>
      </c>
      <c r="E30" s="73" t="s">
        <v>229</v>
      </c>
    </row>
    <row r="31" spans="1:5" x14ac:dyDescent="0.25">
      <c r="A31" s="94" t="s">
        <v>241</v>
      </c>
      <c r="B31" s="78">
        <f>INSUMOS!B5</f>
        <v>154000</v>
      </c>
      <c r="C31" s="95">
        <v>1.6</v>
      </c>
      <c r="D31" s="96">
        <f>C31*B31</f>
        <v>246400</v>
      </c>
      <c r="E31" s="97">
        <f>C31*INSUMOS!E5</f>
        <v>25.456983749858285</v>
      </c>
    </row>
    <row r="32" spans="1:5" x14ac:dyDescent="0.25">
      <c r="A32" s="94" t="s">
        <v>237</v>
      </c>
      <c r="B32" s="78">
        <f>INSUMOS!B262</f>
        <v>77000</v>
      </c>
      <c r="C32" s="98">
        <v>1</v>
      </c>
      <c r="D32" s="96">
        <f>C32*B32</f>
        <v>77000</v>
      </c>
      <c r="E32" s="99" t="s">
        <v>232</v>
      </c>
    </row>
    <row r="33" spans="1:5" x14ac:dyDescent="0.25">
      <c r="A33" s="82"/>
      <c r="B33" s="83"/>
      <c r="C33" s="82" t="s">
        <v>122</v>
      </c>
      <c r="D33" s="83">
        <f>SUM(D31:D32)</f>
        <v>323400</v>
      </c>
      <c r="E33" s="100">
        <f>SUM(E31:E32)</f>
        <v>25.456983749858285</v>
      </c>
    </row>
    <row r="35" spans="1:5" x14ac:dyDescent="0.25">
      <c r="A35" s="279" t="s">
        <v>242</v>
      </c>
      <c r="B35" s="279"/>
      <c r="C35" s="279"/>
      <c r="D35" s="279"/>
      <c r="E35" s="279"/>
    </row>
    <row r="36" spans="1:5" x14ac:dyDescent="0.25">
      <c r="A36" s="71" t="s">
        <v>92</v>
      </c>
      <c r="B36" s="71" t="s">
        <v>93</v>
      </c>
      <c r="C36" s="71" t="s">
        <v>227</v>
      </c>
      <c r="D36" s="71" t="s">
        <v>228</v>
      </c>
      <c r="E36" s="73" t="s">
        <v>229</v>
      </c>
    </row>
    <row r="37" spans="1:5" x14ac:dyDescent="0.25">
      <c r="A37" s="94" t="s">
        <v>243</v>
      </c>
      <c r="B37" s="78">
        <f>INSUMOS!B15</f>
        <v>140000</v>
      </c>
      <c r="C37" s="95">
        <v>1.06</v>
      </c>
      <c r="D37" s="96">
        <f>C37*B37</f>
        <v>148400</v>
      </c>
      <c r="E37" s="97">
        <f>C37*INSUMOS!E4</f>
        <v>9.4867041005331263</v>
      </c>
    </row>
    <row r="38" spans="1:5" x14ac:dyDescent="0.25">
      <c r="A38" s="94" t="s">
        <v>244</v>
      </c>
      <c r="B38" s="78">
        <f>INSUMOS!B261</f>
        <v>77000</v>
      </c>
      <c r="C38" s="98">
        <v>1</v>
      </c>
      <c r="D38" s="96">
        <f>C38*B38</f>
        <v>77000</v>
      </c>
      <c r="E38" s="99" t="s">
        <v>232</v>
      </c>
    </row>
    <row r="39" spans="1:5" x14ac:dyDescent="0.25">
      <c r="A39" s="82"/>
      <c r="B39" s="83"/>
      <c r="C39" s="82" t="s">
        <v>122</v>
      </c>
      <c r="D39" s="83">
        <f>SUM(D37:D38)</f>
        <v>225400</v>
      </c>
      <c r="E39" s="100">
        <f>SUM(E37:E38)</f>
        <v>9.4867041005331263</v>
      </c>
    </row>
    <row r="42" spans="1:5" x14ac:dyDescent="0.25">
      <c r="A42" s="279" t="s">
        <v>245</v>
      </c>
      <c r="B42" s="279"/>
      <c r="C42" s="279"/>
      <c r="D42" s="279"/>
      <c r="E42" s="279"/>
    </row>
    <row r="43" spans="1:5" x14ac:dyDescent="0.25">
      <c r="A43" s="72" t="s">
        <v>92</v>
      </c>
      <c r="B43" s="72" t="s">
        <v>93</v>
      </c>
      <c r="C43" s="71" t="s">
        <v>227</v>
      </c>
      <c r="D43" s="71" t="s">
        <v>228</v>
      </c>
      <c r="E43" s="73" t="s">
        <v>229</v>
      </c>
    </row>
    <row r="44" spans="1:5" x14ac:dyDescent="0.25">
      <c r="A44" s="94" t="s">
        <v>246</v>
      </c>
      <c r="B44" s="78">
        <f>INSUMOS!B5</f>
        <v>154000</v>
      </c>
      <c r="C44" s="95">
        <v>1.8</v>
      </c>
      <c r="D44" s="96">
        <f>C44*B44</f>
        <v>277200</v>
      </c>
      <c r="E44" s="97">
        <f>C44*INSUMOS!E5</f>
        <v>28.639106718590572</v>
      </c>
    </row>
    <row r="45" spans="1:5" x14ac:dyDescent="0.25">
      <c r="A45" s="94" t="s">
        <v>247</v>
      </c>
      <c r="B45" s="78">
        <f>INSUMOS!B262</f>
        <v>77000</v>
      </c>
      <c r="C45" s="98">
        <v>1</v>
      </c>
      <c r="D45" s="96">
        <f>C45*B45</f>
        <v>77000</v>
      </c>
      <c r="E45" s="99" t="s">
        <v>232</v>
      </c>
    </row>
    <row r="46" spans="1:5" x14ac:dyDescent="0.25">
      <c r="A46" s="82"/>
      <c r="B46" s="83"/>
      <c r="C46" s="82" t="s">
        <v>122</v>
      </c>
      <c r="D46" s="83">
        <f>SUM(D44:D45)</f>
        <v>354200</v>
      </c>
      <c r="E46" s="100">
        <f>SUM(E44:E45)</f>
        <v>28.639106718590572</v>
      </c>
    </row>
    <row r="49" spans="1:5" x14ac:dyDescent="0.25">
      <c r="A49" s="279" t="s">
        <v>248</v>
      </c>
      <c r="B49" s="279"/>
      <c r="C49" s="279"/>
      <c r="D49" s="279"/>
      <c r="E49" s="279"/>
    </row>
    <row r="50" spans="1:5" x14ac:dyDescent="0.25">
      <c r="A50" s="71" t="s">
        <v>92</v>
      </c>
      <c r="B50" s="71" t="s">
        <v>93</v>
      </c>
      <c r="C50" s="71" t="s">
        <v>227</v>
      </c>
      <c r="D50" s="71" t="s">
        <v>228</v>
      </c>
      <c r="E50" s="73" t="s">
        <v>229</v>
      </c>
    </row>
    <row r="51" spans="1:5" x14ac:dyDescent="0.25">
      <c r="A51" s="94" t="s">
        <v>249</v>
      </c>
      <c r="B51" s="78">
        <f>INSUMOS!B4</f>
        <v>87000</v>
      </c>
      <c r="C51" s="95">
        <v>2</v>
      </c>
      <c r="D51" s="96">
        <f>C51*B51</f>
        <v>174000</v>
      </c>
      <c r="E51" s="97">
        <f>C51*INSUMOS!E4</f>
        <v>17.899441699119105</v>
      </c>
    </row>
    <row r="52" spans="1:5" x14ac:dyDescent="0.25">
      <c r="A52" s="94" t="s">
        <v>244</v>
      </c>
      <c r="B52" s="78">
        <f>INSUMOS!B261</f>
        <v>77000</v>
      </c>
      <c r="C52" s="98">
        <v>1</v>
      </c>
      <c r="D52" s="96">
        <f>C52*B52</f>
        <v>77000</v>
      </c>
      <c r="E52" s="99" t="s">
        <v>232</v>
      </c>
    </row>
    <row r="53" spans="1:5" x14ac:dyDescent="0.25">
      <c r="A53" s="82"/>
      <c r="B53" s="83"/>
      <c r="C53" s="82" t="s">
        <v>122</v>
      </c>
      <c r="D53" s="83">
        <f>SUM(D51:D52)</f>
        <v>251000</v>
      </c>
      <c r="E53" s="100">
        <f>SUM(E51:E52)</f>
        <v>17.899441699119105</v>
      </c>
    </row>
    <row r="56" spans="1:5" x14ac:dyDescent="0.25">
      <c r="A56" s="279" t="s">
        <v>250</v>
      </c>
      <c r="B56" s="279"/>
      <c r="C56" s="279"/>
      <c r="D56" s="279"/>
      <c r="E56" s="279"/>
    </row>
    <row r="57" spans="1:5" x14ac:dyDescent="0.25">
      <c r="A57" s="72" t="s">
        <v>92</v>
      </c>
      <c r="B57" s="72" t="s">
        <v>93</v>
      </c>
      <c r="C57" s="71" t="s">
        <v>227</v>
      </c>
      <c r="D57" s="71" t="s">
        <v>228</v>
      </c>
      <c r="E57" s="73" t="s">
        <v>229</v>
      </c>
    </row>
    <row r="58" spans="1:5" x14ac:dyDescent="0.25">
      <c r="A58" s="94" t="s">
        <v>251</v>
      </c>
      <c r="B58" s="78">
        <f>INSUMOS!B5</f>
        <v>154000</v>
      </c>
      <c r="C58" s="95">
        <v>2.1</v>
      </c>
      <c r="D58" s="96">
        <f>C58*B58</f>
        <v>323400</v>
      </c>
      <c r="E58" s="97">
        <f>C58*INSUMOS!E5</f>
        <v>33.412291171688999</v>
      </c>
    </row>
    <row r="59" spans="1:5" x14ac:dyDescent="0.25">
      <c r="A59" s="94" t="s">
        <v>252</v>
      </c>
      <c r="B59" s="78">
        <f>INSUMOS!B262</f>
        <v>77000</v>
      </c>
      <c r="C59" s="98">
        <v>1</v>
      </c>
      <c r="D59" s="96">
        <f>C59*B59</f>
        <v>77000</v>
      </c>
      <c r="E59" s="99" t="s">
        <v>232</v>
      </c>
    </row>
    <row r="60" spans="1:5" x14ac:dyDescent="0.25">
      <c r="A60" s="82"/>
      <c r="B60" s="83"/>
      <c r="C60" s="82" t="s">
        <v>122</v>
      </c>
      <c r="D60" s="83">
        <f>SUM(D58:D59)</f>
        <v>400400</v>
      </c>
      <c r="E60" s="100">
        <f>SUM(E58:E59)</f>
        <v>33.412291171688999</v>
      </c>
    </row>
    <row r="63" spans="1:5" x14ac:dyDescent="0.25">
      <c r="A63" s="279" t="s">
        <v>253</v>
      </c>
      <c r="B63" s="279"/>
      <c r="C63" s="279"/>
      <c r="D63" s="279"/>
      <c r="E63" s="279"/>
    </row>
    <row r="64" spans="1:5" x14ac:dyDescent="0.25">
      <c r="A64" s="71" t="s">
        <v>92</v>
      </c>
      <c r="B64" s="71" t="s">
        <v>93</v>
      </c>
      <c r="C64" s="71" t="s">
        <v>227</v>
      </c>
      <c r="D64" s="71" t="s">
        <v>228</v>
      </c>
      <c r="E64" s="73" t="s">
        <v>229</v>
      </c>
    </row>
    <row r="65" spans="1:5" x14ac:dyDescent="0.25">
      <c r="A65" s="94" t="s">
        <v>254</v>
      </c>
      <c r="B65" s="78">
        <f>INSUMOS!B2</f>
        <v>39000</v>
      </c>
      <c r="C65" s="95">
        <v>0.59</v>
      </c>
      <c r="D65" s="96">
        <f>C65*B65</f>
        <v>23010</v>
      </c>
      <c r="E65" s="97">
        <f>C65*INSUMOS!E2</f>
        <v>2.3468156894400605</v>
      </c>
    </row>
    <row r="66" spans="1:5" x14ac:dyDescent="0.25">
      <c r="A66" s="94" t="s">
        <v>231</v>
      </c>
      <c r="B66" s="78">
        <f>INSUMOS!B259</f>
        <v>60000</v>
      </c>
      <c r="C66" s="98">
        <v>1</v>
      </c>
      <c r="D66" s="96">
        <f>C66*B66</f>
        <v>60000</v>
      </c>
      <c r="E66" s="99" t="s">
        <v>232</v>
      </c>
    </row>
    <row r="67" spans="1:5" x14ac:dyDescent="0.25">
      <c r="A67" s="82"/>
      <c r="B67" s="83"/>
      <c r="C67" s="82" t="s">
        <v>122</v>
      </c>
      <c r="D67" s="83">
        <f>SUM(D65:D66)</f>
        <v>83010</v>
      </c>
      <c r="E67" s="100">
        <f>SUM(E65:E66)</f>
        <v>2.3468156894400605</v>
      </c>
    </row>
    <row r="70" spans="1:5" x14ac:dyDescent="0.25">
      <c r="A70" s="279" t="s">
        <v>255</v>
      </c>
      <c r="B70" s="279"/>
      <c r="C70" s="279"/>
      <c r="D70" s="279"/>
      <c r="E70" s="279"/>
    </row>
    <row r="71" spans="1:5" x14ac:dyDescent="0.25">
      <c r="A71" s="71" t="s">
        <v>92</v>
      </c>
      <c r="B71" s="71" t="s">
        <v>93</v>
      </c>
      <c r="C71" s="71" t="s">
        <v>227</v>
      </c>
      <c r="D71" s="71" t="s">
        <v>228</v>
      </c>
      <c r="E71" s="73" t="s">
        <v>229</v>
      </c>
    </row>
    <row r="72" spans="1:5" x14ac:dyDescent="0.25">
      <c r="A72" s="94" t="s">
        <v>256</v>
      </c>
      <c r="B72" s="78">
        <f>INSUMOS!B2</f>
        <v>39000</v>
      </c>
      <c r="C72" s="95">
        <v>0.86</v>
      </c>
      <c r="D72" s="96">
        <f>C72*B72</f>
        <v>33540</v>
      </c>
      <c r="E72" s="97">
        <f>C72*INSUMOS!E2</f>
        <v>3.420782191387207</v>
      </c>
    </row>
    <row r="73" spans="1:5" x14ac:dyDescent="0.25">
      <c r="A73" s="94" t="s">
        <v>231</v>
      </c>
      <c r="B73" s="78">
        <f>INSUMOS!B259</f>
        <v>60000</v>
      </c>
      <c r="C73" s="98">
        <v>1</v>
      </c>
      <c r="D73" s="96">
        <f>C73*B73</f>
        <v>60000</v>
      </c>
      <c r="E73" s="99" t="s">
        <v>232</v>
      </c>
    </row>
    <row r="74" spans="1:5" x14ac:dyDescent="0.25">
      <c r="A74" s="82"/>
      <c r="B74" s="83"/>
      <c r="C74" s="82" t="s">
        <v>122</v>
      </c>
      <c r="D74" s="83">
        <f>SUM(D72:D73)</f>
        <v>93540</v>
      </c>
      <c r="E74" s="100">
        <f>SUM(E72:E73)</f>
        <v>3.420782191387207</v>
      </c>
    </row>
    <row r="76" spans="1:5" x14ac:dyDescent="0.25">
      <c r="A76" s="279" t="s">
        <v>257</v>
      </c>
      <c r="B76" s="279"/>
      <c r="C76" s="279"/>
      <c r="D76" s="279"/>
      <c r="E76" s="279"/>
    </row>
    <row r="77" spans="1:5" x14ac:dyDescent="0.25">
      <c r="A77" s="71" t="s">
        <v>92</v>
      </c>
      <c r="B77" s="71" t="s">
        <v>93</v>
      </c>
      <c r="C77" s="71" t="s">
        <v>227</v>
      </c>
      <c r="D77" s="71" t="s">
        <v>228</v>
      </c>
      <c r="E77" s="73" t="s">
        <v>229</v>
      </c>
    </row>
    <row r="78" spans="1:5" x14ac:dyDescent="0.25">
      <c r="A78" s="94" t="s">
        <v>258</v>
      </c>
      <c r="B78" s="78">
        <f>INSUMOS!B15</f>
        <v>140000</v>
      </c>
      <c r="C78" s="95">
        <v>1.35</v>
      </c>
      <c r="D78" s="96">
        <f>C78*B78</f>
        <v>189000</v>
      </c>
      <c r="E78" s="97">
        <f>C78*INSUMOS!E4</f>
        <v>12.082123146905397</v>
      </c>
    </row>
    <row r="79" spans="1:5" x14ac:dyDescent="0.25">
      <c r="A79" s="94" t="s">
        <v>244</v>
      </c>
      <c r="B79" s="78">
        <f>INSUMOS!B261</f>
        <v>77000</v>
      </c>
      <c r="C79" s="98">
        <v>1</v>
      </c>
      <c r="D79" s="96">
        <f>C79*B79</f>
        <v>77000</v>
      </c>
      <c r="E79" s="99" t="s">
        <v>232</v>
      </c>
    </row>
    <row r="80" spans="1:5" x14ac:dyDescent="0.25">
      <c r="A80" s="82"/>
      <c r="B80" s="83"/>
      <c r="C80" s="82" t="s">
        <v>122</v>
      </c>
      <c r="D80" s="83">
        <f>SUM(D78:D79)</f>
        <v>266000</v>
      </c>
      <c r="E80" s="100">
        <f>SUM(E78:E79)</f>
        <v>12.082123146905397</v>
      </c>
    </row>
    <row r="82" spans="1:5" x14ac:dyDescent="0.25">
      <c r="A82" s="279" t="s">
        <v>259</v>
      </c>
      <c r="B82" s="279"/>
      <c r="C82" s="279"/>
      <c r="D82" s="279"/>
      <c r="E82" s="279"/>
    </row>
    <row r="83" spans="1:5" x14ac:dyDescent="0.25">
      <c r="A83" s="71" t="s">
        <v>92</v>
      </c>
      <c r="B83" s="71" t="s">
        <v>93</v>
      </c>
      <c r="C83" s="71" t="s">
        <v>227</v>
      </c>
      <c r="D83" s="71" t="s">
        <v>228</v>
      </c>
      <c r="E83" s="73" t="s">
        <v>229</v>
      </c>
    </row>
    <row r="84" spans="1:5" x14ac:dyDescent="0.25">
      <c r="A84" s="94" t="s">
        <v>260</v>
      </c>
      <c r="B84" s="78">
        <f>INSUMOS!B4</f>
        <v>87000</v>
      </c>
      <c r="C84" s="95">
        <v>1.8</v>
      </c>
      <c r="D84" s="96">
        <f>C84*B84</f>
        <v>156600</v>
      </c>
      <c r="E84" s="97">
        <f>C84*INSUMOS!E4</f>
        <v>16.109497529207196</v>
      </c>
    </row>
    <row r="85" spans="1:5" x14ac:dyDescent="0.25">
      <c r="A85" s="94" t="s">
        <v>244</v>
      </c>
      <c r="B85" s="78">
        <f>INSUMOS!B261</f>
        <v>77000</v>
      </c>
      <c r="C85" s="98">
        <v>1</v>
      </c>
      <c r="D85" s="96">
        <f>C85*B85</f>
        <v>77000</v>
      </c>
      <c r="E85" s="99" t="s">
        <v>232</v>
      </c>
    </row>
    <row r="86" spans="1:5" x14ac:dyDescent="0.25">
      <c r="A86" s="82"/>
      <c r="B86" s="83"/>
      <c r="C86" s="82" t="s">
        <v>122</v>
      </c>
      <c r="D86" s="83">
        <f>SUM(D84:D85)</f>
        <v>233600</v>
      </c>
      <c r="E86" s="100">
        <f>SUM(E84:E85)</f>
        <v>16.109497529207196</v>
      </c>
    </row>
    <row r="89" spans="1:5" x14ac:dyDescent="0.25">
      <c r="A89" s="279" t="s">
        <v>261</v>
      </c>
      <c r="B89" s="279"/>
      <c r="C89" s="279"/>
      <c r="D89" s="279"/>
      <c r="E89" s="279"/>
    </row>
    <row r="90" spans="1:5" x14ac:dyDescent="0.25">
      <c r="A90" s="71" t="s">
        <v>92</v>
      </c>
      <c r="B90" s="71" t="s">
        <v>93</v>
      </c>
      <c r="C90" s="71" t="s">
        <v>227</v>
      </c>
      <c r="D90" s="71" t="s">
        <v>228</v>
      </c>
      <c r="E90" s="73" t="s">
        <v>229</v>
      </c>
    </row>
    <row r="91" spans="1:5" x14ac:dyDescent="0.25">
      <c r="A91" s="94" t="s">
        <v>262</v>
      </c>
      <c r="B91" s="78">
        <f>INSUMOS!B2</f>
        <v>39000</v>
      </c>
      <c r="C91" s="95">
        <v>1.08</v>
      </c>
      <c r="D91" s="96">
        <f>C91*B91</f>
        <v>42120</v>
      </c>
      <c r="E91" s="97">
        <f>C91*INSUMOS!E2</f>
        <v>4.295866007788586</v>
      </c>
    </row>
    <row r="92" spans="1:5" x14ac:dyDescent="0.25">
      <c r="A92" s="94" t="s">
        <v>231</v>
      </c>
      <c r="B92" s="78">
        <f>+INSUMOS!B259</f>
        <v>60000</v>
      </c>
      <c r="C92" s="98">
        <v>1</v>
      </c>
      <c r="D92" s="96">
        <f>C92*B92</f>
        <v>60000</v>
      </c>
      <c r="E92" s="99" t="s">
        <v>232</v>
      </c>
    </row>
    <row r="93" spans="1:5" x14ac:dyDescent="0.25">
      <c r="A93" s="82"/>
      <c r="B93" s="83"/>
      <c r="C93" s="82" t="s">
        <v>122</v>
      </c>
      <c r="D93" s="83">
        <f>SUM(D91:D92)</f>
        <v>102120</v>
      </c>
      <c r="E93" s="100">
        <f>SUM(E91:E92)</f>
        <v>4.295866007788586</v>
      </c>
    </row>
    <row r="96" spans="1:5" x14ac:dyDescent="0.25">
      <c r="A96" s="279" t="s">
        <v>263</v>
      </c>
      <c r="B96" s="279"/>
      <c r="C96" s="279"/>
      <c r="D96" s="279"/>
      <c r="E96" s="279"/>
    </row>
    <row r="97" spans="1:5" x14ac:dyDescent="0.25">
      <c r="A97" s="71" t="s">
        <v>92</v>
      </c>
      <c r="B97" s="71" t="s">
        <v>93</v>
      </c>
      <c r="C97" s="71" t="s">
        <v>227</v>
      </c>
      <c r="D97" s="71" t="s">
        <v>228</v>
      </c>
      <c r="E97" s="73" t="s">
        <v>229</v>
      </c>
    </row>
    <row r="98" spans="1:5" x14ac:dyDescent="0.25">
      <c r="A98" s="94" t="s">
        <v>264</v>
      </c>
      <c r="B98" s="78">
        <f>INSUMOS!B3</f>
        <v>64000</v>
      </c>
      <c r="C98" s="95">
        <v>1.35</v>
      </c>
      <c r="D98" s="96">
        <f>C98*B98</f>
        <v>86400</v>
      </c>
      <c r="E98" s="97">
        <f>C98*INSUMOS!E3</f>
        <v>8.390363296462084</v>
      </c>
    </row>
    <row r="99" spans="1:5" x14ac:dyDescent="0.25">
      <c r="A99" s="94" t="s">
        <v>237</v>
      </c>
      <c r="B99" s="78">
        <f>INSUMOS!B260</f>
        <v>60000</v>
      </c>
      <c r="C99" s="98">
        <v>1</v>
      </c>
      <c r="D99" s="96">
        <f>C99*B99</f>
        <v>60000</v>
      </c>
      <c r="E99" s="99" t="s">
        <v>232</v>
      </c>
    </row>
    <row r="100" spans="1:5" x14ac:dyDescent="0.25">
      <c r="A100" s="82"/>
      <c r="B100" s="83"/>
      <c r="C100" s="82" t="s">
        <v>122</v>
      </c>
      <c r="D100" s="83">
        <f>SUM(D98:D99)</f>
        <v>146400</v>
      </c>
      <c r="E100" s="100">
        <f>SUM(E98:E99)</f>
        <v>8.390363296462084</v>
      </c>
    </row>
    <row r="103" spans="1:5" x14ac:dyDescent="0.25">
      <c r="A103" s="279" t="s">
        <v>265</v>
      </c>
      <c r="B103" s="279"/>
      <c r="C103" s="279"/>
      <c r="D103" s="279"/>
      <c r="E103" s="279"/>
    </row>
    <row r="104" spans="1:5" x14ac:dyDescent="0.25">
      <c r="A104" s="71" t="s">
        <v>92</v>
      </c>
      <c r="B104" s="71" t="s">
        <v>93</v>
      </c>
      <c r="C104" s="71" t="s">
        <v>227</v>
      </c>
      <c r="D104" s="71" t="s">
        <v>228</v>
      </c>
      <c r="E104" s="73" t="s">
        <v>229</v>
      </c>
    </row>
    <row r="105" spans="1:5" x14ac:dyDescent="0.25">
      <c r="A105" s="94" t="s">
        <v>266</v>
      </c>
      <c r="B105" s="78">
        <f>INSUMOS!B5</f>
        <v>154000</v>
      </c>
      <c r="C105" s="95">
        <v>1.62</v>
      </c>
      <c r="D105" s="96">
        <f>C105*B105</f>
        <v>249480.00000000003</v>
      </c>
      <c r="E105" s="97">
        <f>C105*INSUMOS!E5</f>
        <v>25.775196046731516</v>
      </c>
    </row>
    <row r="106" spans="1:5" x14ac:dyDescent="0.25">
      <c r="A106" s="94" t="s">
        <v>247</v>
      </c>
      <c r="B106" s="78">
        <f>INSUMOS!B262</f>
        <v>77000</v>
      </c>
      <c r="C106" s="98">
        <v>1</v>
      </c>
      <c r="D106" s="96">
        <f>C106*B106</f>
        <v>77000</v>
      </c>
      <c r="E106" s="99" t="s">
        <v>232</v>
      </c>
    </row>
    <row r="107" spans="1:5" x14ac:dyDescent="0.25">
      <c r="A107" s="82"/>
      <c r="B107" s="83"/>
      <c r="C107" s="82" t="s">
        <v>122</v>
      </c>
      <c r="D107" s="83">
        <f>SUM(D105:D106)</f>
        <v>326480</v>
      </c>
      <c r="E107" s="100">
        <f>SUM(E105:E106)</f>
        <v>25.775196046731516</v>
      </c>
    </row>
    <row r="110" spans="1:5" x14ac:dyDescent="0.25">
      <c r="A110" s="279" t="s">
        <v>267</v>
      </c>
      <c r="B110" s="279"/>
      <c r="C110" s="279"/>
      <c r="D110" s="279"/>
      <c r="E110" s="279"/>
    </row>
    <row r="111" spans="1:5" x14ac:dyDescent="0.25">
      <c r="A111" s="71" t="s">
        <v>92</v>
      </c>
      <c r="B111" s="71" t="s">
        <v>93</v>
      </c>
      <c r="C111" s="71" t="s">
        <v>227</v>
      </c>
      <c r="D111" s="71" t="s">
        <v>228</v>
      </c>
      <c r="E111" s="73" t="s">
        <v>229</v>
      </c>
    </row>
    <row r="112" spans="1:5" x14ac:dyDescent="0.25">
      <c r="A112" s="94" t="s">
        <v>268</v>
      </c>
      <c r="B112" s="78">
        <f>INSUMOS!B5</f>
        <v>154000</v>
      </c>
      <c r="C112" s="95">
        <v>1.84</v>
      </c>
      <c r="D112" s="96">
        <f>C112*B112</f>
        <v>283360</v>
      </c>
      <c r="E112" s="97">
        <f>C112*INSUMOS!E5</f>
        <v>29.275531312337026</v>
      </c>
    </row>
    <row r="113" spans="1:5" x14ac:dyDescent="0.25">
      <c r="A113" s="94" t="s">
        <v>247</v>
      </c>
      <c r="B113" s="78">
        <f>INSUMOS!B262</f>
        <v>77000</v>
      </c>
      <c r="C113" s="98">
        <v>1</v>
      </c>
      <c r="D113" s="96">
        <f>C113*B113</f>
        <v>77000</v>
      </c>
      <c r="E113" s="99" t="s">
        <v>232</v>
      </c>
    </row>
    <row r="114" spans="1:5" x14ac:dyDescent="0.25">
      <c r="A114" s="82"/>
      <c r="B114" s="83"/>
      <c r="C114" s="82" t="s">
        <v>122</v>
      </c>
      <c r="D114" s="83">
        <f>SUM(D112:D113)</f>
        <v>360360</v>
      </c>
      <c r="E114" s="100">
        <f>SUM(E112:E113)</f>
        <v>29.275531312337026</v>
      </c>
    </row>
    <row r="117" spans="1:5" x14ac:dyDescent="0.25">
      <c r="A117" s="279" t="s">
        <v>269</v>
      </c>
      <c r="B117" s="279"/>
      <c r="C117" s="279"/>
      <c r="D117" s="279"/>
      <c r="E117" s="279"/>
    </row>
    <row r="118" spans="1:5" x14ac:dyDescent="0.25">
      <c r="A118" s="71" t="s">
        <v>92</v>
      </c>
      <c r="B118" s="71" t="s">
        <v>93</v>
      </c>
      <c r="C118" s="71" t="s">
        <v>227</v>
      </c>
      <c r="D118" s="71" t="s">
        <v>228</v>
      </c>
      <c r="E118" s="73" t="s">
        <v>229</v>
      </c>
    </row>
    <row r="119" spans="1:5" x14ac:dyDescent="0.25">
      <c r="A119" s="94" t="s">
        <v>270</v>
      </c>
      <c r="B119" s="78">
        <f>INSUMOS!B4</f>
        <v>87000</v>
      </c>
      <c r="C119" s="95">
        <v>2.06</v>
      </c>
      <c r="D119" s="96">
        <f>C119*B119</f>
        <v>179220</v>
      </c>
      <c r="E119" s="97">
        <f>C119*INSUMOS!E4</f>
        <v>18.436424950092679</v>
      </c>
    </row>
    <row r="120" spans="1:5" x14ac:dyDescent="0.25">
      <c r="A120" s="94" t="s">
        <v>244</v>
      </c>
      <c r="B120" s="78">
        <f>INSUMOS!B261</f>
        <v>77000</v>
      </c>
      <c r="C120" s="98">
        <v>1</v>
      </c>
      <c r="D120" s="96">
        <f>C120*B120</f>
        <v>77000</v>
      </c>
      <c r="E120" s="99" t="s">
        <v>232</v>
      </c>
    </row>
    <row r="121" spans="1:5" x14ac:dyDescent="0.25">
      <c r="A121" s="82"/>
      <c r="B121" s="83"/>
      <c r="C121" s="82" t="s">
        <v>122</v>
      </c>
      <c r="D121" s="83">
        <f>SUM(D119:D120)</f>
        <v>256220</v>
      </c>
      <c r="E121" s="100">
        <f>SUM(E119:E120)</f>
        <v>18.436424950092679</v>
      </c>
    </row>
    <row r="123" spans="1:5" x14ac:dyDescent="0.25">
      <c r="A123" s="279" t="s">
        <v>271</v>
      </c>
      <c r="B123" s="279"/>
      <c r="C123" s="279"/>
      <c r="D123" s="279"/>
      <c r="E123" s="279"/>
    </row>
    <row r="124" spans="1:5" x14ac:dyDescent="0.25">
      <c r="A124" s="71" t="s">
        <v>92</v>
      </c>
      <c r="B124" s="71" t="s">
        <v>93</v>
      </c>
      <c r="C124" s="71" t="s">
        <v>227</v>
      </c>
      <c r="D124" s="71" t="s">
        <v>228</v>
      </c>
      <c r="E124" s="73" t="s">
        <v>229</v>
      </c>
    </row>
    <row r="125" spans="1:5" x14ac:dyDescent="0.25">
      <c r="A125" s="94" t="s">
        <v>272</v>
      </c>
      <c r="B125" s="78">
        <f>INSUMOS!B4</f>
        <v>87000</v>
      </c>
      <c r="C125" s="95">
        <v>1.35</v>
      </c>
      <c r="D125" s="96">
        <f>C125*B125</f>
        <v>117450.00000000001</v>
      </c>
      <c r="E125" s="97">
        <f>C125*INSUMOS!E4</f>
        <v>12.082123146905397</v>
      </c>
    </row>
    <row r="126" spans="1:5" x14ac:dyDescent="0.25">
      <c r="A126" s="94" t="s">
        <v>244</v>
      </c>
      <c r="B126" s="78">
        <f>INSUMOS!B261</f>
        <v>77000</v>
      </c>
      <c r="C126" s="98">
        <v>1</v>
      </c>
      <c r="D126" s="96">
        <f>C126*B126</f>
        <v>77000</v>
      </c>
      <c r="E126" s="99" t="s">
        <v>232</v>
      </c>
    </row>
    <row r="127" spans="1:5" x14ac:dyDescent="0.25">
      <c r="A127" s="82"/>
      <c r="B127" s="83"/>
      <c r="C127" s="82" t="s">
        <v>122</v>
      </c>
      <c r="D127" s="83">
        <f>SUM(D125:D126)</f>
        <v>194450</v>
      </c>
      <c r="E127" s="100">
        <f>SUM(E125:E126)</f>
        <v>12.082123146905397</v>
      </c>
    </row>
    <row r="129" spans="1:5" x14ac:dyDescent="0.25">
      <c r="A129" s="279" t="s">
        <v>273</v>
      </c>
      <c r="B129" s="279"/>
      <c r="C129" s="279"/>
      <c r="D129" s="279"/>
      <c r="E129" s="279"/>
    </row>
    <row r="130" spans="1:5" x14ac:dyDescent="0.25">
      <c r="A130" s="71" t="s">
        <v>92</v>
      </c>
      <c r="B130" s="71" t="s">
        <v>93</v>
      </c>
      <c r="C130" s="71" t="s">
        <v>227</v>
      </c>
      <c r="D130" s="71" t="s">
        <v>228</v>
      </c>
      <c r="E130" s="73" t="s">
        <v>229</v>
      </c>
    </row>
    <row r="131" spans="1:5" x14ac:dyDescent="0.25">
      <c r="A131" s="94" t="s">
        <v>274</v>
      </c>
      <c r="B131" s="78">
        <f>INSUMOS!B4</f>
        <v>87000</v>
      </c>
      <c r="C131" s="95">
        <v>2.2999999999999998</v>
      </c>
      <c r="D131" s="96">
        <f>C131*B131</f>
        <v>200099.99999999997</v>
      </c>
      <c r="E131" s="97">
        <f>C131*INSUMOS!E4</f>
        <v>20.58435795398697</v>
      </c>
    </row>
    <row r="132" spans="1:5" x14ac:dyDescent="0.25">
      <c r="A132" s="94" t="s">
        <v>244</v>
      </c>
      <c r="B132" s="78">
        <f>INSUMOS!B261</f>
        <v>77000</v>
      </c>
      <c r="C132" s="98">
        <v>1</v>
      </c>
      <c r="D132" s="96">
        <f>C132*B132</f>
        <v>77000</v>
      </c>
      <c r="E132" s="99" t="s">
        <v>232</v>
      </c>
    </row>
    <row r="133" spans="1:5" x14ac:dyDescent="0.25">
      <c r="A133" s="82"/>
      <c r="B133" s="83"/>
      <c r="C133" s="82" t="s">
        <v>122</v>
      </c>
      <c r="D133" s="83">
        <f>SUM(D131:D132)</f>
        <v>277100</v>
      </c>
      <c r="E133" s="100">
        <f>SUM(E131:E132)</f>
        <v>20.58435795398697</v>
      </c>
    </row>
    <row r="136" spans="1:5" x14ac:dyDescent="0.25">
      <c r="A136" s="279" t="s">
        <v>275</v>
      </c>
      <c r="B136" s="279"/>
      <c r="C136" s="279"/>
      <c r="D136" s="279"/>
      <c r="E136" s="279"/>
    </row>
    <row r="137" spans="1:5" x14ac:dyDescent="0.25">
      <c r="A137" s="71" t="s">
        <v>92</v>
      </c>
      <c r="B137" s="71" t="s">
        <v>93</v>
      </c>
      <c r="C137" s="71" t="s">
        <v>227</v>
      </c>
      <c r="D137" s="71" t="s">
        <v>228</v>
      </c>
      <c r="E137" s="73" t="s">
        <v>229</v>
      </c>
    </row>
    <row r="138" spans="1:5" x14ac:dyDescent="0.25">
      <c r="A138" s="94" t="s">
        <v>276</v>
      </c>
      <c r="B138" s="78">
        <f>INSUMOS!B5</f>
        <v>154000</v>
      </c>
      <c r="C138" s="95">
        <v>2.6</v>
      </c>
      <c r="D138" s="96">
        <f>C138*B138</f>
        <v>400400</v>
      </c>
      <c r="E138" s="97">
        <f>C138*INSUMOS!E5</f>
        <v>41.367598593519716</v>
      </c>
    </row>
    <row r="139" spans="1:5" x14ac:dyDescent="0.25">
      <c r="A139" s="94" t="s">
        <v>247</v>
      </c>
      <c r="B139" s="78">
        <f>INSUMOS!B262</f>
        <v>77000</v>
      </c>
      <c r="C139" s="98">
        <v>1</v>
      </c>
      <c r="D139" s="96">
        <f>C139*B139</f>
        <v>77000</v>
      </c>
      <c r="E139" s="99" t="s">
        <v>232</v>
      </c>
    </row>
    <row r="140" spans="1:5" x14ac:dyDescent="0.25">
      <c r="A140" s="82" t="s">
        <v>122</v>
      </c>
      <c r="B140" s="83">
        <f>B139+B138</f>
        <v>231000</v>
      </c>
      <c r="C140" s="82" t="s">
        <v>122</v>
      </c>
      <c r="D140" s="83">
        <f>SUM(D138:D139)</f>
        <v>477400</v>
      </c>
      <c r="E140" s="100">
        <f>SUM(E138:E139)</f>
        <v>41.367598593519716</v>
      </c>
    </row>
    <row r="143" spans="1:5" x14ac:dyDescent="0.25">
      <c r="A143" s="279" t="s">
        <v>277</v>
      </c>
      <c r="B143" s="279"/>
      <c r="C143" s="279"/>
      <c r="D143" s="279"/>
      <c r="E143" s="279"/>
    </row>
    <row r="144" spans="1:5" x14ac:dyDescent="0.25">
      <c r="A144" s="71" t="s">
        <v>92</v>
      </c>
      <c r="B144" s="71" t="s">
        <v>93</v>
      </c>
      <c r="C144" s="71" t="s">
        <v>227</v>
      </c>
      <c r="D144" s="71" t="s">
        <v>228</v>
      </c>
      <c r="E144" s="73" t="s">
        <v>229</v>
      </c>
    </row>
    <row r="145" spans="1:5" x14ac:dyDescent="0.25">
      <c r="A145" s="94" t="s">
        <v>278</v>
      </c>
      <c r="B145" s="78">
        <f>INSUMOS!B5</f>
        <v>154000</v>
      </c>
      <c r="C145" s="95">
        <v>2.64</v>
      </c>
      <c r="D145" s="96">
        <f>C145*B145</f>
        <v>406560</v>
      </c>
      <c r="E145" s="97">
        <f>C145*INSUMOS!E5</f>
        <v>42.004023187266171</v>
      </c>
    </row>
    <row r="146" spans="1:5" x14ac:dyDescent="0.25">
      <c r="A146" s="94" t="s">
        <v>247</v>
      </c>
      <c r="B146" s="78">
        <f>INSUMOS!B262</f>
        <v>77000</v>
      </c>
      <c r="C146" s="98">
        <v>1</v>
      </c>
      <c r="D146" s="96">
        <f>C146*B146</f>
        <v>77000</v>
      </c>
      <c r="E146" s="99" t="s">
        <v>232</v>
      </c>
    </row>
    <row r="147" spans="1:5" x14ac:dyDescent="0.25">
      <c r="A147" s="82"/>
      <c r="B147" s="83"/>
      <c r="C147" s="82" t="s">
        <v>122</v>
      </c>
      <c r="D147" s="83">
        <f>SUM(D145:D146)</f>
        <v>483560</v>
      </c>
      <c r="E147" s="100">
        <f>SUM(E145:E146)</f>
        <v>42.004023187266171</v>
      </c>
    </row>
    <row r="150" spans="1:5" x14ac:dyDescent="0.25">
      <c r="A150" s="279" t="s">
        <v>279</v>
      </c>
      <c r="B150" s="279"/>
      <c r="C150" s="279"/>
      <c r="D150" s="279"/>
      <c r="E150" s="279"/>
    </row>
    <row r="151" spans="1:5" x14ac:dyDescent="0.25">
      <c r="A151" s="71" t="s">
        <v>92</v>
      </c>
      <c r="B151" s="71" t="s">
        <v>93</v>
      </c>
      <c r="C151" s="71" t="s">
        <v>227</v>
      </c>
      <c r="D151" s="71" t="s">
        <v>228</v>
      </c>
      <c r="E151" s="73" t="s">
        <v>229</v>
      </c>
    </row>
    <row r="152" spans="1:5" x14ac:dyDescent="0.25">
      <c r="A152" s="94" t="s">
        <v>280</v>
      </c>
      <c r="B152" s="78">
        <f>INSUMOS!B5</f>
        <v>154000</v>
      </c>
      <c r="C152" s="95">
        <v>1.5</v>
      </c>
      <c r="D152" s="96">
        <f>C152*B152</f>
        <v>231000</v>
      </c>
      <c r="E152" s="97">
        <f>C152*INSUMOS!E5</f>
        <v>23.865922265492141</v>
      </c>
    </row>
    <row r="153" spans="1:5" x14ac:dyDescent="0.25">
      <c r="A153" s="94" t="s">
        <v>247</v>
      </c>
      <c r="B153" s="78">
        <f>INSUMOS!B262</f>
        <v>77000</v>
      </c>
      <c r="C153" s="98">
        <v>1</v>
      </c>
      <c r="D153" s="96">
        <f>C153*B153</f>
        <v>77000</v>
      </c>
      <c r="E153" s="99" t="s">
        <v>232</v>
      </c>
    </row>
    <row r="154" spans="1:5" x14ac:dyDescent="0.25">
      <c r="A154" s="82"/>
      <c r="B154" s="83"/>
      <c r="C154" s="82" t="s">
        <v>122</v>
      </c>
      <c r="D154" s="83">
        <f>SUM(D152:D153)</f>
        <v>308000</v>
      </c>
      <c r="E154" s="100">
        <f>SUM(E152:E153)</f>
        <v>23.865922265492141</v>
      </c>
    </row>
    <row r="157" spans="1:5" x14ac:dyDescent="0.25">
      <c r="A157" s="279" t="s">
        <v>281</v>
      </c>
      <c r="B157" s="279"/>
      <c r="C157" s="279"/>
      <c r="D157" s="279"/>
      <c r="E157" s="279"/>
    </row>
    <row r="158" spans="1:5" x14ac:dyDescent="0.25">
      <c r="A158" s="71" t="s">
        <v>92</v>
      </c>
      <c r="B158" s="71" t="s">
        <v>93</v>
      </c>
      <c r="C158" s="71" t="s">
        <v>227</v>
      </c>
      <c r="D158" s="71" t="s">
        <v>228</v>
      </c>
      <c r="E158" s="73" t="s">
        <v>229</v>
      </c>
    </row>
    <row r="159" spans="1:5" x14ac:dyDescent="0.25">
      <c r="A159" s="94" t="s">
        <v>282</v>
      </c>
      <c r="B159" s="78">
        <f>INSUMOS!B5</f>
        <v>154000</v>
      </c>
      <c r="C159" s="95">
        <v>2.16</v>
      </c>
      <c r="D159" s="96">
        <f>C159*B159</f>
        <v>332640</v>
      </c>
      <c r="E159" s="97">
        <f>C159*INSUMOS!E5</f>
        <v>34.366928062308688</v>
      </c>
    </row>
    <row r="160" spans="1:5" x14ac:dyDescent="0.25">
      <c r="A160" s="94" t="s">
        <v>247</v>
      </c>
      <c r="B160" s="78">
        <f>INSUMOS!B262</f>
        <v>77000</v>
      </c>
      <c r="C160" s="98">
        <v>1</v>
      </c>
      <c r="D160" s="96">
        <f>C160*B160</f>
        <v>77000</v>
      </c>
      <c r="E160" s="99" t="s">
        <v>232</v>
      </c>
    </row>
    <row r="161" spans="1:5" x14ac:dyDescent="0.25">
      <c r="A161" s="82"/>
      <c r="B161" s="83"/>
      <c r="C161" s="82" t="s">
        <v>122</v>
      </c>
      <c r="D161" s="83">
        <f>SUM(D159:D160)</f>
        <v>409640</v>
      </c>
      <c r="E161" s="100">
        <f>SUM(E159:E160)</f>
        <v>34.366928062308688</v>
      </c>
    </row>
    <row r="164" spans="1:5" x14ac:dyDescent="0.25">
      <c r="A164" s="279" t="s">
        <v>283</v>
      </c>
      <c r="B164" s="279"/>
      <c r="C164" s="279"/>
      <c r="D164" s="279"/>
      <c r="E164" s="279"/>
    </row>
    <row r="165" spans="1:5" x14ac:dyDescent="0.25">
      <c r="A165" s="71" t="s">
        <v>92</v>
      </c>
      <c r="B165" s="71" t="s">
        <v>93</v>
      </c>
      <c r="C165" s="71" t="s">
        <v>227</v>
      </c>
      <c r="D165" s="71" t="s">
        <v>228</v>
      </c>
      <c r="E165" s="73" t="s">
        <v>229</v>
      </c>
    </row>
    <row r="166" spans="1:5" x14ac:dyDescent="0.25">
      <c r="A166" s="94" t="s">
        <v>284</v>
      </c>
      <c r="B166" s="78">
        <f>INSUMOS!B3</f>
        <v>64000</v>
      </c>
      <c r="C166" s="95">
        <v>0.66</v>
      </c>
      <c r="D166" s="96">
        <f>C166*B166</f>
        <v>42240</v>
      </c>
      <c r="E166" s="97">
        <f>C166*INSUMOS!E3</f>
        <v>4.1019553893814624</v>
      </c>
    </row>
    <row r="167" spans="1:5" x14ac:dyDescent="0.25">
      <c r="A167" s="94" t="s">
        <v>237</v>
      </c>
      <c r="B167" s="78">
        <f>INSUMOS!B260</f>
        <v>60000</v>
      </c>
      <c r="C167" s="98">
        <v>1</v>
      </c>
      <c r="D167" s="96">
        <f>C167*B167</f>
        <v>60000</v>
      </c>
      <c r="E167" s="99"/>
    </row>
    <row r="168" spans="1:5" x14ac:dyDescent="0.25">
      <c r="A168" s="82"/>
      <c r="B168" s="83"/>
      <c r="C168" s="82" t="s">
        <v>122</v>
      </c>
      <c r="D168" s="83">
        <f>SUM(D166:D167)</f>
        <v>102240</v>
      </c>
      <c r="E168" s="100">
        <f>SUM(E166:E167)</f>
        <v>4.1019553893814624</v>
      </c>
    </row>
    <row r="170" spans="1:5" x14ac:dyDescent="0.25">
      <c r="A170" s="279" t="s">
        <v>285</v>
      </c>
      <c r="B170" s="279"/>
      <c r="C170" s="279"/>
      <c r="D170" s="279"/>
      <c r="E170" s="279"/>
    </row>
    <row r="171" spans="1:5" x14ac:dyDescent="0.25">
      <c r="A171" s="71" t="s">
        <v>92</v>
      </c>
      <c r="B171" s="71" t="s">
        <v>93</v>
      </c>
      <c r="C171" s="71"/>
      <c r="D171" s="71"/>
      <c r="E171" s="73" t="s">
        <v>229</v>
      </c>
    </row>
    <row r="172" spans="1:5" x14ac:dyDescent="0.25">
      <c r="A172" s="94" t="s">
        <v>286</v>
      </c>
      <c r="B172" s="78">
        <f>INSUMOS!B2</f>
        <v>39000</v>
      </c>
      <c r="C172" s="95">
        <v>1.25</v>
      </c>
      <c r="D172" s="96">
        <f>C172*B172</f>
        <v>48750</v>
      </c>
      <c r="E172" s="102">
        <f>EJXA!C172*INSUMOS!E2</f>
        <v>4.9720671386441957</v>
      </c>
    </row>
    <row r="173" spans="1:5" x14ac:dyDescent="0.25">
      <c r="A173" s="94" t="s">
        <v>231</v>
      </c>
      <c r="B173" s="78">
        <f>INSUMOS!B259</f>
        <v>60000</v>
      </c>
      <c r="C173" s="98">
        <v>1</v>
      </c>
      <c r="D173" s="96">
        <f>C173*B173</f>
        <v>60000</v>
      </c>
      <c r="E173" s="99" t="s">
        <v>232</v>
      </c>
    </row>
    <row r="174" spans="1:5" x14ac:dyDescent="0.25">
      <c r="A174" s="82"/>
      <c r="B174" s="83"/>
      <c r="C174" s="82" t="s">
        <v>122</v>
      </c>
      <c r="D174" s="83">
        <f>SUM(D172:D173)</f>
        <v>108750</v>
      </c>
      <c r="E174" s="100">
        <f>SUM(E172:E173)</f>
        <v>4.9720671386441957</v>
      </c>
    </row>
    <row r="176" spans="1:5" x14ac:dyDescent="0.25">
      <c r="A176" s="279" t="s">
        <v>287</v>
      </c>
      <c r="B176" s="279"/>
      <c r="C176" s="279"/>
      <c r="D176" s="279"/>
      <c r="E176" s="279"/>
    </row>
    <row r="177" spans="1:5" x14ac:dyDescent="0.25">
      <c r="A177" s="71" t="s">
        <v>92</v>
      </c>
      <c r="B177" s="71" t="s">
        <v>93</v>
      </c>
      <c r="C177" s="71"/>
      <c r="D177" s="71"/>
      <c r="E177" s="73" t="s">
        <v>229</v>
      </c>
    </row>
    <row r="178" spans="1:5" x14ac:dyDescent="0.25">
      <c r="A178" s="94" t="s">
        <v>288</v>
      </c>
      <c r="B178" s="78">
        <f>INSUMOS!B13</f>
        <v>80000</v>
      </c>
      <c r="C178" s="95">
        <v>1.2</v>
      </c>
      <c r="D178" s="96">
        <f>C178*B178</f>
        <v>96000</v>
      </c>
      <c r="E178" s="102">
        <f>INSUMOS!E13</f>
        <v>3.9776537109153569</v>
      </c>
    </row>
    <row r="179" spans="1:5" x14ac:dyDescent="0.25">
      <c r="A179" s="94" t="s">
        <v>231</v>
      </c>
      <c r="B179" s="78">
        <f>INSUMOS!B259</f>
        <v>60000</v>
      </c>
      <c r="C179" s="98">
        <v>1</v>
      </c>
      <c r="D179" s="96">
        <f>C179*B179</f>
        <v>60000</v>
      </c>
      <c r="E179" s="99" t="s">
        <v>232</v>
      </c>
    </row>
    <row r="180" spans="1:5" x14ac:dyDescent="0.25">
      <c r="A180" s="82"/>
      <c r="B180" s="83"/>
      <c r="C180" s="82" t="s">
        <v>122</v>
      </c>
      <c r="D180" s="83">
        <f>SUM(D178:D179)</f>
        <v>156000</v>
      </c>
      <c r="E180" s="100">
        <f>SUM(E178:E179)</f>
        <v>3.9776537109153569</v>
      </c>
    </row>
    <row r="182" spans="1:5" x14ac:dyDescent="0.25">
      <c r="A182" s="279" t="s">
        <v>289</v>
      </c>
      <c r="B182" s="279"/>
      <c r="C182" s="279"/>
      <c r="D182" s="279"/>
      <c r="E182" s="279"/>
    </row>
    <row r="183" spans="1:5" x14ac:dyDescent="0.25">
      <c r="A183" s="71" t="s">
        <v>92</v>
      </c>
      <c r="B183" s="71" t="s">
        <v>93</v>
      </c>
      <c r="C183" s="71" t="s">
        <v>227</v>
      </c>
      <c r="D183" s="71" t="s">
        <v>228</v>
      </c>
      <c r="E183" s="73" t="s">
        <v>229</v>
      </c>
    </row>
    <row r="184" spans="1:5" x14ac:dyDescent="0.25">
      <c r="A184" s="94" t="s">
        <v>290</v>
      </c>
      <c r="B184" s="78">
        <f>INSUMOS!B5</f>
        <v>154000</v>
      </c>
      <c r="C184" s="95">
        <v>1.25</v>
      </c>
      <c r="D184" s="96">
        <f>C184*B184</f>
        <v>192500</v>
      </c>
      <c r="E184" s="97">
        <f>C184*INSUMOS!E5</f>
        <v>19.888268554576783</v>
      </c>
    </row>
    <row r="185" spans="1:5" x14ac:dyDescent="0.25">
      <c r="A185" s="94" t="s">
        <v>247</v>
      </c>
      <c r="B185" s="78">
        <f>INSUMOS!B262</f>
        <v>77000</v>
      </c>
      <c r="C185" s="98">
        <v>1</v>
      </c>
      <c r="D185" s="96">
        <f>C185*B185</f>
        <v>77000</v>
      </c>
      <c r="E185" s="99" t="s">
        <v>232</v>
      </c>
    </row>
    <row r="186" spans="1:5" x14ac:dyDescent="0.25">
      <c r="A186" s="82"/>
      <c r="B186" s="83"/>
      <c r="C186" s="82" t="s">
        <v>122</v>
      </c>
      <c r="D186" s="83">
        <f>SUM(D184:D185)</f>
        <v>269500</v>
      </c>
      <c r="E186" s="100">
        <f>SUM(E184:E185)</f>
        <v>19.888268554576783</v>
      </c>
    </row>
    <row r="188" spans="1:5" x14ac:dyDescent="0.25">
      <c r="A188" s="279" t="s">
        <v>291</v>
      </c>
      <c r="B188" s="279"/>
      <c r="C188" s="279"/>
      <c r="D188" s="279"/>
      <c r="E188" s="279"/>
    </row>
    <row r="189" spans="1:5" x14ac:dyDescent="0.25">
      <c r="A189" s="71" t="s">
        <v>92</v>
      </c>
      <c r="B189" s="71" t="s">
        <v>226</v>
      </c>
      <c r="C189" s="71" t="s">
        <v>227</v>
      </c>
      <c r="D189" s="71" t="s">
        <v>228</v>
      </c>
      <c r="E189" s="73" t="s">
        <v>229</v>
      </c>
    </row>
    <row r="190" spans="1:5" x14ac:dyDescent="0.25">
      <c r="A190" s="94" t="s">
        <v>292</v>
      </c>
      <c r="B190" s="78">
        <f>INSUMOS!B13</f>
        <v>80000</v>
      </c>
      <c r="C190" s="95">
        <v>0.65</v>
      </c>
      <c r="D190" s="96">
        <f>C190*B190</f>
        <v>52000</v>
      </c>
      <c r="E190" s="97">
        <f>C190*INSUMOS!E13</f>
        <v>2.5854749120949823</v>
      </c>
    </row>
    <row r="191" spans="1:5" x14ac:dyDescent="0.25">
      <c r="A191" s="94" t="s">
        <v>231</v>
      </c>
      <c r="B191" s="78">
        <f>INSUMOS!B259</f>
        <v>60000</v>
      </c>
      <c r="C191" s="98">
        <v>1</v>
      </c>
      <c r="D191" s="96">
        <f>C191*B191</f>
        <v>60000</v>
      </c>
      <c r="E191" s="99" t="s">
        <v>232</v>
      </c>
    </row>
    <row r="192" spans="1:5" x14ac:dyDescent="0.25">
      <c r="A192" s="82"/>
      <c r="B192" s="83"/>
      <c r="C192" s="82" t="s">
        <v>122</v>
      </c>
      <c r="D192" s="83">
        <f>SUM(D190:D191)</f>
        <v>112000</v>
      </c>
      <c r="E192" s="100">
        <f>SUM(E190:E191)</f>
        <v>2.5854749120949823</v>
      </c>
    </row>
    <row r="194" spans="1:5" x14ac:dyDescent="0.25">
      <c r="A194" s="279" t="s">
        <v>293</v>
      </c>
      <c r="B194" s="279"/>
      <c r="C194" s="279"/>
      <c r="D194" s="279"/>
      <c r="E194" s="279"/>
    </row>
    <row r="195" spans="1:5" x14ac:dyDescent="0.25">
      <c r="A195" s="71" t="s">
        <v>92</v>
      </c>
      <c r="B195" s="71" t="s">
        <v>93</v>
      </c>
      <c r="C195" s="71" t="s">
        <v>227</v>
      </c>
      <c r="D195" s="71" t="s">
        <v>228</v>
      </c>
      <c r="E195" s="73" t="s">
        <v>229</v>
      </c>
    </row>
    <row r="196" spans="1:5" x14ac:dyDescent="0.25">
      <c r="A196" s="94" t="s">
        <v>294</v>
      </c>
      <c r="B196" s="78">
        <f>INSUMOS!B3</f>
        <v>64000</v>
      </c>
      <c r="C196" s="95">
        <v>1</v>
      </c>
      <c r="D196" s="96">
        <f>C196*B196</f>
        <v>64000</v>
      </c>
      <c r="E196" s="97">
        <f>C196*INSUMOS!E3</f>
        <v>6.2150839233052464</v>
      </c>
    </row>
    <row r="197" spans="1:5" x14ac:dyDescent="0.25">
      <c r="A197" s="94" t="s">
        <v>237</v>
      </c>
      <c r="B197" s="78">
        <f>INSUMOS!B260</f>
        <v>60000</v>
      </c>
      <c r="C197" s="98">
        <v>1</v>
      </c>
      <c r="D197" s="96">
        <f>C197*B197</f>
        <v>60000</v>
      </c>
      <c r="E197" s="99" t="s">
        <v>232</v>
      </c>
    </row>
    <row r="198" spans="1:5" x14ac:dyDescent="0.25">
      <c r="A198" s="82"/>
      <c r="B198" s="83"/>
      <c r="C198" s="82" t="s">
        <v>122</v>
      </c>
      <c r="D198" s="83">
        <f>SUM(D196:D197)</f>
        <v>124000</v>
      </c>
      <c r="E198" s="100">
        <f>SUM(E196:E197)</f>
        <v>6.2150839233052464</v>
      </c>
    </row>
    <row r="200" spans="1:5" x14ac:dyDescent="0.25">
      <c r="A200" s="279" t="s">
        <v>295</v>
      </c>
      <c r="B200" s="279"/>
      <c r="C200" s="279"/>
      <c r="D200" s="279"/>
      <c r="E200" s="279"/>
    </row>
    <row r="201" spans="1:5" x14ac:dyDescent="0.25">
      <c r="A201" s="71" t="s">
        <v>92</v>
      </c>
      <c r="B201" s="71" t="s">
        <v>93</v>
      </c>
      <c r="C201" s="71" t="s">
        <v>227</v>
      </c>
      <c r="D201" s="71" t="s">
        <v>228</v>
      </c>
      <c r="E201" s="73" t="s">
        <v>229</v>
      </c>
    </row>
    <row r="202" spans="1:5" x14ac:dyDescent="0.25">
      <c r="A202" s="94" t="s">
        <v>296</v>
      </c>
      <c r="B202" s="78">
        <f>INSUMOS!B2</f>
        <v>39000</v>
      </c>
      <c r="C202" s="95">
        <v>1</v>
      </c>
      <c r="D202" s="96">
        <f>C202*B202</f>
        <v>39000</v>
      </c>
      <c r="E202" s="97">
        <f>INSUMOS!E2</f>
        <v>3.9776537109153569</v>
      </c>
    </row>
    <row r="203" spans="1:5" x14ac:dyDescent="0.25">
      <c r="A203" s="94" t="s">
        <v>297</v>
      </c>
      <c r="B203" s="78">
        <f>INSUMOS!B259</f>
        <v>60000</v>
      </c>
      <c r="C203" s="98">
        <v>1</v>
      </c>
      <c r="D203" s="96">
        <f>C203*B203</f>
        <v>60000</v>
      </c>
      <c r="E203" s="99" t="s">
        <v>232</v>
      </c>
    </row>
    <row r="204" spans="1:5" x14ac:dyDescent="0.25">
      <c r="A204" s="82"/>
      <c r="B204" s="83"/>
      <c r="C204" s="82" t="s">
        <v>122</v>
      </c>
      <c r="D204" s="83">
        <f>SUM(D202:D203)</f>
        <v>99000</v>
      </c>
      <c r="E204" s="100">
        <f>SUM(E202:E203)</f>
        <v>3.9776537109153569</v>
      </c>
    </row>
    <row r="206" spans="1:5" x14ac:dyDescent="0.25">
      <c r="A206" s="279" t="s">
        <v>298</v>
      </c>
      <c r="B206" s="279"/>
      <c r="C206" s="279"/>
      <c r="D206" s="279"/>
      <c r="E206" s="279"/>
    </row>
    <row r="207" spans="1:5" x14ac:dyDescent="0.25">
      <c r="A207" s="71" t="s">
        <v>92</v>
      </c>
      <c r="B207" s="71" t="s">
        <v>93</v>
      </c>
      <c r="C207" s="71" t="s">
        <v>227</v>
      </c>
      <c r="D207" s="71" t="s">
        <v>228</v>
      </c>
      <c r="E207" s="73" t="s">
        <v>229</v>
      </c>
    </row>
    <row r="208" spans="1:5" x14ac:dyDescent="0.25">
      <c r="A208" s="94" t="s">
        <v>299</v>
      </c>
      <c r="B208" s="78">
        <f>INSUMOS!B4</f>
        <v>87000</v>
      </c>
      <c r="C208" s="95">
        <v>2.2000000000000002</v>
      </c>
      <c r="D208" s="96">
        <f>C208*B208</f>
        <v>191400.00000000003</v>
      </c>
      <c r="E208" s="97">
        <f>C208*INSUMOS!E4</f>
        <v>19.689385869031018</v>
      </c>
    </row>
    <row r="209" spans="1:5" x14ac:dyDescent="0.25">
      <c r="A209" s="94" t="s">
        <v>244</v>
      </c>
      <c r="B209" s="78">
        <f>INSUMOS!B261</f>
        <v>77000</v>
      </c>
      <c r="C209" s="98">
        <v>1</v>
      </c>
      <c r="D209" s="96">
        <f>C209*B209</f>
        <v>77000</v>
      </c>
      <c r="E209" s="99" t="s">
        <v>232</v>
      </c>
    </row>
    <row r="210" spans="1:5" x14ac:dyDescent="0.25">
      <c r="A210" s="82"/>
      <c r="B210" s="83"/>
      <c r="C210" s="82" t="s">
        <v>122</v>
      </c>
      <c r="D210" s="83">
        <f>SUM(D208:D209)</f>
        <v>268400</v>
      </c>
      <c r="E210" s="100">
        <f>SUM(E208:E209)</f>
        <v>19.689385869031018</v>
      </c>
    </row>
    <row r="212" spans="1:5" x14ac:dyDescent="0.25">
      <c r="A212" s="279" t="s">
        <v>300</v>
      </c>
      <c r="B212" s="279"/>
      <c r="C212" s="279"/>
      <c r="D212" s="279"/>
      <c r="E212" s="279"/>
    </row>
    <row r="213" spans="1:5" x14ac:dyDescent="0.25">
      <c r="A213" s="71" t="s">
        <v>92</v>
      </c>
      <c r="B213" s="71" t="s">
        <v>93</v>
      </c>
      <c r="C213" s="71" t="s">
        <v>227</v>
      </c>
      <c r="D213" s="71" t="s">
        <v>228</v>
      </c>
      <c r="E213" s="73" t="s">
        <v>229</v>
      </c>
    </row>
    <row r="214" spans="1:5" x14ac:dyDescent="0.25">
      <c r="A214" s="94" t="s">
        <v>301</v>
      </c>
      <c r="B214" s="78">
        <f>INSUMOS!B4</f>
        <v>87000</v>
      </c>
      <c r="C214" s="95">
        <v>1</v>
      </c>
      <c r="D214" s="96">
        <f>C214*B214</f>
        <v>87000</v>
      </c>
      <c r="E214" s="97">
        <f>INSUMOS!E4</f>
        <v>8.9497208495595526</v>
      </c>
    </row>
    <row r="215" spans="1:5" x14ac:dyDescent="0.25">
      <c r="A215" s="94" t="s">
        <v>244</v>
      </c>
      <c r="B215" s="78">
        <f>INSUMOS!B261</f>
        <v>77000</v>
      </c>
      <c r="C215" s="98">
        <v>1</v>
      </c>
      <c r="D215" s="96">
        <f>C215*B215</f>
        <v>77000</v>
      </c>
      <c r="E215" s="99" t="s">
        <v>232</v>
      </c>
    </row>
    <row r="216" spans="1:5" x14ac:dyDescent="0.25">
      <c r="A216" s="82"/>
      <c r="B216" s="83"/>
      <c r="C216" s="82" t="s">
        <v>122</v>
      </c>
      <c r="D216" s="83">
        <f>SUM(D214:D215)</f>
        <v>164000</v>
      </c>
      <c r="E216" s="100">
        <f>SUM(E214:E215)</f>
        <v>8.9497208495595526</v>
      </c>
    </row>
    <row r="218" spans="1:5" x14ac:dyDescent="0.25">
      <c r="A218" s="279" t="s">
        <v>302</v>
      </c>
      <c r="B218" s="279"/>
      <c r="C218" s="279"/>
      <c r="D218" s="279"/>
      <c r="E218" s="279"/>
    </row>
    <row r="219" spans="1:5" x14ac:dyDescent="0.25">
      <c r="A219" s="71" t="s">
        <v>92</v>
      </c>
      <c r="B219" s="71" t="s">
        <v>93</v>
      </c>
      <c r="C219" s="71" t="s">
        <v>227</v>
      </c>
      <c r="D219" s="71" t="s">
        <v>228</v>
      </c>
      <c r="E219" s="73" t="s">
        <v>229</v>
      </c>
    </row>
    <row r="220" spans="1:5" x14ac:dyDescent="0.25">
      <c r="A220" s="94" t="s">
        <v>303</v>
      </c>
      <c r="B220" s="78">
        <f>INSUMOS!B5</f>
        <v>154000</v>
      </c>
      <c r="C220" s="95">
        <v>1.2</v>
      </c>
      <c r="D220" s="96">
        <f>C220*B220</f>
        <v>184800</v>
      </c>
      <c r="E220" s="97">
        <f>C220*INSUMOS!E5</f>
        <v>19.092737812393711</v>
      </c>
    </row>
    <row r="221" spans="1:5" x14ac:dyDescent="0.25">
      <c r="A221" s="94" t="s">
        <v>304</v>
      </c>
      <c r="B221" s="78">
        <f>INSUMOS!B78</f>
        <v>75000</v>
      </c>
      <c r="C221" s="95">
        <v>1</v>
      </c>
      <c r="D221" s="96">
        <f>C221*B221</f>
        <v>75000</v>
      </c>
      <c r="E221" s="97">
        <f>INSUMOS!E70</f>
        <v>3</v>
      </c>
    </row>
    <row r="222" spans="1:5" x14ac:dyDescent="0.25">
      <c r="A222" s="94" t="s">
        <v>305</v>
      </c>
      <c r="B222" s="78">
        <f>INSUMOS!B265</f>
        <v>480000</v>
      </c>
      <c r="C222" s="98">
        <v>1</v>
      </c>
      <c r="D222" s="96">
        <f>C222*B222</f>
        <v>480000</v>
      </c>
      <c r="E222" s="99" t="s">
        <v>232</v>
      </c>
    </row>
    <row r="223" spans="1:5" x14ac:dyDescent="0.25">
      <c r="A223" s="82"/>
      <c r="B223" s="83"/>
      <c r="C223" s="82" t="s">
        <v>122</v>
      </c>
      <c r="D223" s="83">
        <f>SUM(D220:D222)</f>
        <v>739800</v>
      </c>
      <c r="E223" s="100">
        <f>SUM(E220:E222)</f>
        <v>22.092737812393711</v>
      </c>
    </row>
    <row r="225" spans="1:5" x14ac:dyDescent="0.25">
      <c r="A225" s="279" t="s">
        <v>306</v>
      </c>
      <c r="B225" s="279"/>
      <c r="C225" s="279"/>
      <c r="D225" s="279"/>
      <c r="E225" s="279"/>
    </row>
    <row r="226" spans="1:5" x14ac:dyDescent="0.25">
      <c r="A226" s="71" t="s">
        <v>92</v>
      </c>
      <c r="B226" s="71" t="s">
        <v>93</v>
      </c>
      <c r="C226" s="71" t="s">
        <v>227</v>
      </c>
      <c r="D226" s="71" t="s">
        <v>228</v>
      </c>
      <c r="E226" s="73" t="s">
        <v>229</v>
      </c>
    </row>
    <row r="227" spans="1:5" x14ac:dyDescent="0.25">
      <c r="A227" s="94" t="s">
        <v>307</v>
      </c>
      <c r="B227" s="78">
        <f>INSUMOS!B5</f>
        <v>154000</v>
      </c>
      <c r="C227" s="95">
        <v>1.3</v>
      </c>
      <c r="D227" s="96">
        <f>C227*B227</f>
        <v>200200</v>
      </c>
      <c r="E227" s="97">
        <f>C227*INSUMOS!E5</f>
        <v>20.683799296759858</v>
      </c>
    </row>
    <row r="228" spans="1:5" x14ac:dyDescent="0.25">
      <c r="A228" s="94" t="s">
        <v>304</v>
      </c>
      <c r="B228" s="78">
        <f>INSUMOS!B70</f>
        <v>80000</v>
      </c>
      <c r="C228" s="95">
        <v>1</v>
      </c>
      <c r="D228" s="96">
        <f>C228*B228</f>
        <v>80000</v>
      </c>
      <c r="E228" s="97">
        <f>INSUMOS!E70</f>
        <v>3</v>
      </c>
    </row>
    <row r="229" spans="1:5" x14ac:dyDescent="0.25">
      <c r="A229" s="94" t="s">
        <v>305</v>
      </c>
      <c r="B229" s="78">
        <f>INSUMOS!B265</f>
        <v>480000</v>
      </c>
      <c r="C229" s="98">
        <v>1</v>
      </c>
      <c r="D229" s="96">
        <f>C229*B229</f>
        <v>480000</v>
      </c>
      <c r="E229" s="99" t="s">
        <v>232</v>
      </c>
    </row>
    <row r="230" spans="1:5" x14ac:dyDescent="0.25">
      <c r="A230" s="82"/>
      <c r="B230" s="83"/>
      <c r="C230" s="82" t="s">
        <v>122</v>
      </c>
      <c r="D230" s="83">
        <f>SUM(D227:D229)</f>
        <v>760200</v>
      </c>
      <c r="E230" s="100">
        <f>SUM(E227:E229)</f>
        <v>23.683799296759858</v>
      </c>
    </row>
    <row r="232" spans="1:5" x14ac:dyDescent="0.25">
      <c r="A232" s="279" t="s">
        <v>308</v>
      </c>
      <c r="B232" s="279"/>
      <c r="C232" s="279"/>
      <c r="D232" s="279"/>
      <c r="E232" s="279"/>
    </row>
    <row r="233" spans="1:5" x14ac:dyDescent="0.25">
      <c r="A233" s="71" t="s">
        <v>92</v>
      </c>
      <c r="B233" s="71" t="s">
        <v>93</v>
      </c>
      <c r="C233" s="71" t="s">
        <v>227</v>
      </c>
      <c r="D233" s="71" t="s">
        <v>228</v>
      </c>
      <c r="E233" s="73" t="s">
        <v>229</v>
      </c>
    </row>
    <row r="234" spans="1:5" x14ac:dyDescent="0.25">
      <c r="A234" s="94" t="s">
        <v>309</v>
      </c>
      <c r="B234" s="78">
        <f>INSUMOS!B5</f>
        <v>154000</v>
      </c>
      <c r="C234" s="95">
        <v>0.7</v>
      </c>
      <c r="D234" s="96">
        <f>C234*B234</f>
        <v>107800</v>
      </c>
      <c r="E234" s="97">
        <f>C234*INSUMOS!E5</f>
        <v>11.137430390562999</v>
      </c>
    </row>
    <row r="235" spans="1:5" x14ac:dyDescent="0.25">
      <c r="A235" s="94" t="s">
        <v>247</v>
      </c>
      <c r="B235" s="78">
        <f>INSUMOS!B262</f>
        <v>77000</v>
      </c>
      <c r="C235" s="98">
        <v>1</v>
      </c>
      <c r="D235" s="96">
        <f>C235*B235</f>
        <v>77000</v>
      </c>
      <c r="E235" s="99" t="s">
        <v>232</v>
      </c>
    </row>
    <row r="236" spans="1:5" x14ac:dyDescent="0.25">
      <c r="A236" s="82"/>
      <c r="B236" s="83"/>
      <c r="C236" s="82" t="s">
        <v>122</v>
      </c>
      <c r="D236" s="83">
        <f>SUM(D234:D235)</f>
        <v>184800</v>
      </c>
      <c r="E236" s="100">
        <f>SUM(E234:E235)</f>
        <v>11.137430390562999</v>
      </c>
    </row>
    <row r="238" spans="1:5" x14ac:dyDescent="0.25">
      <c r="A238" s="279" t="s">
        <v>310</v>
      </c>
      <c r="B238" s="279"/>
      <c r="C238" s="279"/>
      <c r="D238" s="279"/>
      <c r="E238" s="279"/>
    </row>
    <row r="239" spans="1:5" x14ac:dyDescent="0.25">
      <c r="A239" s="71" t="s">
        <v>92</v>
      </c>
      <c r="B239" s="71" t="s">
        <v>93</v>
      </c>
      <c r="C239" s="71" t="s">
        <v>227</v>
      </c>
      <c r="D239" s="71" t="s">
        <v>228</v>
      </c>
      <c r="E239" s="73" t="s">
        <v>229</v>
      </c>
    </row>
    <row r="240" spans="1:5" x14ac:dyDescent="0.25">
      <c r="A240" s="94" t="s">
        <v>311</v>
      </c>
      <c r="B240" s="78">
        <f>INSUMOS!B4</f>
        <v>87000</v>
      </c>
      <c r="C240" s="95">
        <v>1.5</v>
      </c>
      <c r="D240" s="96">
        <f>C240*B240</f>
        <v>130500</v>
      </c>
      <c r="E240" s="97">
        <f>C240*INSUMOS!E4</f>
        <v>13.424581274339328</v>
      </c>
    </row>
    <row r="241" spans="1:5" x14ac:dyDescent="0.25">
      <c r="A241" s="94" t="s">
        <v>244</v>
      </c>
      <c r="B241" s="78">
        <f>INSUMOS!B261</f>
        <v>77000</v>
      </c>
      <c r="C241" s="98">
        <v>1</v>
      </c>
      <c r="D241" s="96">
        <f>C241*B241</f>
        <v>77000</v>
      </c>
      <c r="E241" s="99" t="s">
        <v>232</v>
      </c>
    </row>
    <row r="242" spans="1:5" x14ac:dyDescent="0.25">
      <c r="A242" s="82"/>
      <c r="B242" s="83"/>
      <c r="C242" s="82" t="s">
        <v>122</v>
      </c>
      <c r="D242" s="83">
        <f>SUM(D240:D241)</f>
        <v>207500</v>
      </c>
      <c r="E242" s="100">
        <f>SUM(E240:E241)</f>
        <v>13.424581274339328</v>
      </c>
    </row>
    <row r="244" spans="1:5" x14ac:dyDescent="0.25">
      <c r="A244" s="279" t="s">
        <v>312</v>
      </c>
      <c r="B244" s="279"/>
      <c r="C244" s="279"/>
      <c r="D244" s="279"/>
      <c r="E244" s="279"/>
    </row>
    <row r="245" spans="1:5" x14ac:dyDescent="0.25">
      <c r="A245" s="71" t="s">
        <v>92</v>
      </c>
      <c r="B245" s="71" t="s">
        <v>93</v>
      </c>
      <c r="C245" s="71" t="s">
        <v>227</v>
      </c>
      <c r="D245" s="71" t="s">
        <v>228</v>
      </c>
      <c r="E245" s="73" t="s">
        <v>229</v>
      </c>
    </row>
    <row r="246" spans="1:5" x14ac:dyDescent="0.25">
      <c r="A246" s="94" t="s">
        <v>313</v>
      </c>
      <c r="B246" s="78">
        <f>INSUMOS!B4</f>
        <v>87000</v>
      </c>
      <c r="C246" s="95">
        <v>1.2</v>
      </c>
      <c r="D246" s="96">
        <f>C246*B246</f>
        <v>104400</v>
      </c>
      <c r="E246" s="97">
        <f>C246*INSUMOS!E4</f>
        <v>10.739665019471463</v>
      </c>
    </row>
    <row r="247" spans="1:5" x14ac:dyDescent="0.25">
      <c r="A247" s="94" t="s">
        <v>314</v>
      </c>
      <c r="B247" s="78">
        <f>INSUMOS!B69</f>
        <v>65000</v>
      </c>
      <c r="C247" s="95">
        <v>1</v>
      </c>
      <c r="D247" s="96">
        <f>C247*B247</f>
        <v>65000</v>
      </c>
      <c r="E247" s="97">
        <f>INSUMOS!E69</f>
        <v>2</v>
      </c>
    </row>
    <row r="248" spans="1:5" x14ac:dyDescent="0.25">
      <c r="A248" s="94" t="s">
        <v>315</v>
      </c>
      <c r="B248" s="78">
        <f>INSUMOS!B264</f>
        <v>400000</v>
      </c>
      <c r="C248" s="98">
        <v>1</v>
      </c>
      <c r="D248" s="96">
        <f>C248*B248</f>
        <v>400000</v>
      </c>
      <c r="E248" s="99" t="s">
        <v>232</v>
      </c>
    </row>
    <row r="249" spans="1:5" x14ac:dyDescent="0.25">
      <c r="A249" s="82"/>
      <c r="B249" s="83"/>
      <c r="C249" s="82" t="s">
        <v>122</v>
      </c>
      <c r="D249" s="83">
        <f>SUM(D246:D248)</f>
        <v>569400</v>
      </c>
      <c r="E249" s="100">
        <f>SUM(E246:E248)</f>
        <v>12.739665019471463</v>
      </c>
    </row>
    <row r="251" spans="1:5" x14ac:dyDescent="0.25">
      <c r="A251" s="279" t="s">
        <v>316</v>
      </c>
      <c r="B251" s="279"/>
      <c r="C251" s="279"/>
      <c r="D251" s="279"/>
      <c r="E251" s="279"/>
    </row>
    <row r="252" spans="1:5" x14ac:dyDescent="0.25">
      <c r="A252" s="71" t="s">
        <v>92</v>
      </c>
      <c r="B252" s="71" t="s">
        <v>93</v>
      </c>
      <c r="C252" s="71"/>
      <c r="D252" s="71"/>
      <c r="E252" s="73" t="s">
        <v>229</v>
      </c>
    </row>
    <row r="253" spans="1:5" x14ac:dyDescent="0.25">
      <c r="A253" s="94" t="s">
        <v>317</v>
      </c>
      <c r="B253" s="78">
        <f>INSUMOS!B2</f>
        <v>39000</v>
      </c>
      <c r="C253" s="95">
        <v>1.5</v>
      </c>
      <c r="D253" s="96">
        <f>C253*B253</f>
        <v>58500</v>
      </c>
      <c r="E253" s="102">
        <f>EJXA!C253*INSUMOS!E107</f>
        <v>2.3366015624999998</v>
      </c>
    </row>
    <row r="254" spans="1:5" x14ac:dyDescent="0.25">
      <c r="A254" s="94" t="s">
        <v>231</v>
      </c>
      <c r="B254" s="78">
        <f>INSUMOS!B259</f>
        <v>60000</v>
      </c>
      <c r="C254" s="98">
        <v>1</v>
      </c>
      <c r="D254" s="96">
        <f>C254*B254</f>
        <v>60000</v>
      </c>
      <c r="E254" s="99" t="s">
        <v>232</v>
      </c>
    </row>
    <row r="255" spans="1:5" x14ac:dyDescent="0.25">
      <c r="A255" s="82"/>
      <c r="B255" s="83"/>
      <c r="C255" s="82" t="s">
        <v>122</v>
      </c>
      <c r="D255" s="83">
        <f>SUM(D253:D254)</f>
        <v>118500</v>
      </c>
      <c r="E255" s="100">
        <f>SUM(E253:E254)</f>
        <v>2.3366015624999998</v>
      </c>
    </row>
    <row r="257" spans="1:5" x14ac:dyDescent="0.25">
      <c r="A257" s="279" t="s">
        <v>318</v>
      </c>
      <c r="B257" s="279"/>
      <c r="C257" s="279"/>
      <c r="D257" s="279"/>
      <c r="E257" s="279"/>
    </row>
    <row r="258" spans="1:5" x14ac:dyDescent="0.25">
      <c r="A258" s="71" t="s">
        <v>92</v>
      </c>
      <c r="B258" s="71" t="s">
        <v>93</v>
      </c>
      <c r="C258" s="71" t="s">
        <v>227</v>
      </c>
      <c r="D258" s="71" t="s">
        <v>228</v>
      </c>
      <c r="E258" s="73" t="s">
        <v>229</v>
      </c>
    </row>
    <row r="259" spans="1:5" x14ac:dyDescent="0.25">
      <c r="A259" s="94" t="s">
        <v>319</v>
      </c>
      <c r="B259" s="78">
        <f>INSUMOS!B16</f>
        <v>240000</v>
      </c>
      <c r="C259" s="95">
        <v>1.5</v>
      </c>
      <c r="D259" s="96">
        <f>C259*B259</f>
        <v>360000</v>
      </c>
      <c r="E259" s="97">
        <f>C259*INSUMOS!E16</f>
        <v>23.865922265492141</v>
      </c>
    </row>
    <row r="260" spans="1:5" x14ac:dyDescent="0.25">
      <c r="A260" s="94" t="s">
        <v>304</v>
      </c>
      <c r="B260" s="78">
        <f>INSUMOS!B88</f>
        <v>120000</v>
      </c>
      <c r="C260" s="95">
        <v>1</v>
      </c>
      <c r="D260" s="96">
        <f>C260*B260</f>
        <v>120000</v>
      </c>
      <c r="E260" s="97">
        <f>INSUMOS!E88</f>
        <v>3</v>
      </c>
    </row>
    <row r="261" spans="1:5" x14ac:dyDescent="0.25">
      <c r="A261" s="94" t="s">
        <v>305</v>
      </c>
      <c r="B261" s="78">
        <f>INSUMOS!B265</f>
        <v>480000</v>
      </c>
      <c r="C261" s="98">
        <v>1</v>
      </c>
      <c r="D261" s="96">
        <f>C261*B261</f>
        <v>480000</v>
      </c>
      <c r="E261" s="99" t="s">
        <v>232</v>
      </c>
    </row>
    <row r="262" spans="1:5" x14ac:dyDescent="0.25">
      <c r="A262" s="82"/>
      <c r="B262" s="83"/>
      <c r="C262" s="82" t="s">
        <v>122</v>
      </c>
      <c r="D262" s="83">
        <f>SUM(D259:D261)</f>
        <v>960000</v>
      </c>
      <c r="E262" s="100">
        <f>SUM(E259:E261)</f>
        <v>26.865922265492141</v>
      </c>
    </row>
    <row r="264" spans="1:5" x14ac:dyDescent="0.25">
      <c r="A264" s="279" t="s">
        <v>320</v>
      </c>
      <c r="B264" s="279"/>
      <c r="C264" s="279"/>
      <c r="D264" s="279"/>
      <c r="E264" s="279"/>
    </row>
    <row r="265" spans="1:5" x14ac:dyDescent="0.25">
      <c r="A265" s="71" t="s">
        <v>92</v>
      </c>
      <c r="B265" s="71" t="s">
        <v>93</v>
      </c>
      <c r="C265" s="71" t="s">
        <v>227</v>
      </c>
      <c r="D265" s="71" t="s">
        <v>228</v>
      </c>
      <c r="E265" s="73" t="s">
        <v>229</v>
      </c>
    </row>
    <row r="266" spans="1:5" x14ac:dyDescent="0.25">
      <c r="A266" s="94" t="s">
        <v>294</v>
      </c>
      <c r="B266" s="78">
        <f>INSUMOS!B3</f>
        <v>64000</v>
      </c>
      <c r="C266" s="95">
        <v>2</v>
      </c>
      <c r="D266" s="96">
        <f>C266*B266</f>
        <v>128000</v>
      </c>
      <c r="E266" s="97">
        <f>C266*INSUMOS!E92</f>
        <v>22.6</v>
      </c>
    </row>
    <row r="267" spans="1:5" x14ac:dyDescent="0.25">
      <c r="A267" s="94" t="s">
        <v>237</v>
      </c>
      <c r="B267" s="78">
        <f>INSUMOS!B260</f>
        <v>60000</v>
      </c>
      <c r="C267" s="98">
        <v>1</v>
      </c>
      <c r="D267" s="96">
        <f>C267*B267</f>
        <v>60000</v>
      </c>
      <c r="E267" s="99" t="s">
        <v>232</v>
      </c>
    </row>
    <row r="268" spans="1:5" x14ac:dyDescent="0.25">
      <c r="A268" s="82"/>
      <c r="B268" s="83"/>
      <c r="C268" s="82" t="s">
        <v>122</v>
      </c>
      <c r="D268" s="83">
        <f>SUM(D266:D267)</f>
        <v>188000</v>
      </c>
      <c r="E268" s="100">
        <f>SUM(E266:E267)</f>
        <v>22.6</v>
      </c>
    </row>
    <row r="270" spans="1:5" x14ac:dyDescent="0.25">
      <c r="A270" s="279" t="s">
        <v>321</v>
      </c>
      <c r="B270" s="279"/>
      <c r="C270" s="279"/>
      <c r="D270" s="279"/>
      <c r="E270" s="279"/>
    </row>
    <row r="271" spans="1:5" x14ac:dyDescent="0.25">
      <c r="A271" s="71" t="s">
        <v>92</v>
      </c>
      <c r="B271" s="71" t="s">
        <v>93</v>
      </c>
      <c r="C271" s="71"/>
      <c r="D271" s="71"/>
      <c r="E271" s="73" t="s">
        <v>229</v>
      </c>
    </row>
    <row r="272" spans="1:5" x14ac:dyDescent="0.25">
      <c r="A272" s="94" t="s">
        <v>322</v>
      </c>
      <c r="B272" s="78">
        <f>INSUMOS!B3</f>
        <v>64000</v>
      </c>
      <c r="C272" s="95">
        <v>1.5</v>
      </c>
      <c r="D272" s="96">
        <f>C272*B272</f>
        <v>96000</v>
      </c>
      <c r="E272" s="102">
        <f>C272*INSUMOS!E3</f>
        <v>9.3226258849578691</v>
      </c>
    </row>
    <row r="273" spans="1:5" x14ac:dyDescent="0.25">
      <c r="A273" s="94" t="s">
        <v>237</v>
      </c>
      <c r="B273" s="78">
        <f>INSUMOS!B260</f>
        <v>60000</v>
      </c>
      <c r="C273" s="98">
        <v>1</v>
      </c>
      <c r="D273" s="96">
        <f>C273*B273</f>
        <v>60000</v>
      </c>
      <c r="E273" s="99" t="s">
        <v>232</v>
      </c>
    </row>
    <row r="274" spans="1:5" x14ac:dyDescent="0.25">
      <c r="A274" s="82"/>
      <c r="B274" s="83"/>
      <c r="C274" s="82" t="s">
        <v>122</v>
      </c>
      <c r="D274" s="83">
        <f>SUM(D272:D273)</f>
        <v>156000</v>
      </c>
      <c r="E274" s="100">
        <f>SUM(E272:E273)</f>
        <v>9.3226258849578691</v>
      </c>
    </row>
    <row r="276" spans="1:5" x14ac:dyDescent="0.25">
      <c r="A276" s="279" t="s">
        <v>323</v>
      </c>
      <c r="B276" s="279"/>
      <c r="C276" s="279"/>
      <c r="D276" s="279"/>
      <c r="E276" s="279"/>
    </row>
    <row r="277" spans="1:5" x14ac:dyDescent="0.25">
      <c r="A277" s="71" t="s">
        <v>92</v>
      </c>
      <c r="B277" s="71" t="s">
        <v>93</v>
      </c>
      <c r="C277" s="71" t="s">
        <v>227</v>
      </c>
      <c r="D277" s="71" t="s">
        <v>228</v>
      </c>
      <c r="E277" s="73" t="s">
        <v>229</v>
      </c>
    </row>
    <row r="278" spans="1:5" x14ac:dyDescent="0.25">
      <c r="A278" s="94" t="s">
        <v>324</v>
      </c>
      <c r="B278" s="78">
        <f>INSUMOS!B5</f>
        <v>154000</v>
      </c>
      <c r="C278" s="95">
        <v>1</v>
      </c>
      <c r="D278" s="96">
        <f>C278*B278</f>
        <v>154000</v>
      </c>
      <c r="E278" s="97">
        <f>INSUMOS!E5</f>
        <v>15.910614843661428</v>
      </c>
    </row>
    <row r="279" spans="1:5" x14ac:dyDescent="0.25">
      <c r="A279" s="94" t="s">
        <v>247</v>
      </c>
      <c r="B279" s="78">
        <f>INSUMOS!B262</f>
        <v>77000</v>
      </c>
      <c r="C279" s="98">
        <v>1</v>
      </c>
      <c r="D279" s="96">
        <f>C279*B279</f>
        <v>77000</v>
      </c>
      <c r="E279" s="99" t="s">
        <v>232</v>
      </c>
    </row>
    <row r="280" spans="1:5" x14ac:dyDescent="0.25">
      <c r="A280" s="82"/>
      <c r="B280" s="83"/>
      <c r="C280" s="82" t="s">
        <v>122</v>
      </c>
      <c r="D280" s="83">
        <f>SUM(D278:D279)</f>
        <v>231000</v>
      </c>
      <c r="E280" s="100">
        <f>SUM(E278:E279)</f>
        <v>15.910614843661428</v>
      </c>
    </row>
    <row r="282" spans="1:5" x14ac:dyDescent="0.25">
      <c r="A282" s="279" t="s">
        <v>325</v>
      </c>
      <c r="B282" s="279"/>
      <c r="C282" s="279"/>
      <c r="D282" s="279"/>
      <c r="E282" s="279"/>
    </row>
    <row r="283" spans="1:5" x14ac:dyDescent="0.25">
      <c r="A283" s="71" t="s">
        <v>92</v>
      </c>
      <c r="B283" s="71" t="s">
        <v>93</v>
      </c>
      <c r="C283" s="71" t="s">
        <v>227</v>
      </c>
      <c r="D283" s="71" t="s">
        <v>228</v>
      </c>
      <c r="E283" s="73" t="s">
        <v>229</v>
      </c>
    </row>
    <row r="284" spans="1:5" x14ac:dyDescent="0.25">
      <c r="A284" s="94" t="s">
        <v>326</v>
      </c>
      <c r="B284" s="78">
        <f>INSUMOS!B14</f>
        <v>120000</v>
      </c>
      <c r="C284" s="95">
        <v>1</v>
      </c>
      <c r="D284" s="96">
        <f>C284*B284</f>
        <v>120000</v>
      </c>
      <c r="E284" s="97">
        <f>C284*INSUMOS!E14</f>
        <v>6.2150839233052464</v>
      </c>
    </row>
    <row r="285" spans="1:5" x14ac:dyDescent="0.25">
      <c r="A285" s="94" t="s">
        <v>237</v>
      </c>
      <c r="B285" s="78">
        <f>INSUMOS!B260</f>
        <v>60000</v>
      </c>
      <c r="C285" s="98">
        <v>1</v>
      </c>
      <c r="D285" s="96">
        <f>C285*B285</f>
        <v>60000</v>
      </c>
      <c r="E285" s="99" t="s">
        <v>232</v>
      </c>
    </row>
    <row r="286" spans="1:5" x14ac:dyDescent="0.25">
      <c r="A286" s="82"/>
      <c r="B286" s="83"/>
      <c r="C286" s="82" t="s">
        <v>122</v>
      </c>
      <c r="D286" s="83">
        <f>SUM(D284:D285)</f>
        <v>180000</v>
      </c>
      <c r="E286" s="100">
        <f>SUM(E284:E285)</f>
        <v>6.2150839233052464</v>
      </c>
    </row>
    <row r="288" spans="1:5" x14ac:dyDescent="0.25">
      <c r="A288" s="279" t="s">
        <v>327</v>
      </c>
      <c r="B288" s="279"/>
      <c r="C288" s="279"/>
      <c r="D288" s="279"/>
      <c r="E288" s="279"/>
    </row>
    <row r="289" spans="1:5" x14ac:dyDescent="0.25">
      <c r="A289" s="71" t="s">
        <v>92</v>
      </c>
      <c r="B289" s="71" t="s">
        <v>93</v>
      </c>
      <c r="C289" s="71" t="s">
        <v>227</v>
      </c>
      <c r="D289" s="71" t="s">
        <v>228</v>
      </c>
      <c r="E289" s="73" t="s">
        <v>229</v>
      </c>
    </row>
    <row r="290" spans="1:5" x14ac:dyDescent="0.25">
      <c r="A290" s="94" t="s">
        <v>328</v>
      </c>
      <c r="B290" s="78">
        <f>INSUMOS!B13</f>
        <v>80000</v>
      </c>
      <c r="C290" s="95">
        <v>1</v>
      </c>
      <c r="D290" s="96">
        <f>C290*B290</f>
        <v>80000</v>
      </c>
      <c r="E290" s="97">
        <f>INSUMOS!E13</f>
        <v>3.9776537109153569</v>
      </c>
    </row>
    <row r="291" spans="1:5" x14ac:dyDescent="0.25">
      <c r="A291" s="94" t="s">
        <v>297</v>
      </c>
      <c r="B291" s="78">
        <f>INSUMOS!B259</f>
        <v>60000</v>
      </c>
      <c r="C291" s="98">
        <v>1</v>
      </c>
      <c r="D291" s="96">
        <f>C291*B291</f>
        <v>60000</v>
      </c>
      <c r="E291" s="99" t="s">
        <v>232</v>
      </c>
    </row>
    <row r="292" spans="1:5" x14ac:dyDescent="0.25">
      <c r="A292" s="82"/>
      <c r="B292" s="83"/>
      <c r="C292" s="82" t="s">
        <v>122</v>
      </c>
      <c r="D292" s="83">
        <f>SUM(D290:D291)</f>
        <v>140000</v>
      </c>
      <c r="E292" s="100">
        <f>SUM(E290:E291)</f>
        <v>3.9776537109153569</v>
      </c>
    </row>
    <row r="294" spans="1:5" x14ac:dyDescent="0.25">
      <c r="A294" s="279" t="s">
        <v>329</v>
      </c>
      <c r="B294" s="279"/>
      <c r="C294" s="279"/>
      <c r="D294" s="279"/>
      <c r="E294" s="279"/>
    </row>
    <row r="295" spans="1:5" x14ac:dyDescent="0.25">
      <c r="A295" s="71" t="s">
        <v>92</v>
      </c>
      <c r="B295" s="71" t="s">
        <v>93</v>
      </c>
      <c r="C295" s="71"/>
      <c r="D295" s="71"/>
      <c r="E295" s="73" t="s">
        <v>229</v>
      </c>
    </row>
    <row r="296" spans="1:5" x14ac:dyDescent="0.25">
      <c r="A296" s="94" t="s">
        <v>330</v>
      </c>
      <c r="B296" s="78">
        <f>INSUMOS!B2</f>
        <v>39000</v>
      </c>
      <c r="C296" s="95">
        <v>2</v>
      </c>
      <c r="D296" s="96">
        <f>C296*B296</f>
        <v>78000</v>
      </c>
      <c r="E296" s="102">
        <f>C296*INSUMOS!E2</f>
        <v>7.9553074218307138</v>
      </c>
    </row>
    <row r="297" spans="1:5" x14ac:dyDescent="0.25">
      <c r="A297" s="94" t="s">
        <v>231</v>
      </c>
      <c r="B297" s="78">
        <f>INSUMOS!B259</f>
        <v>60000</v>
      </c>
      <c r="C297" s="98">
        <v>1</v>
      </c>
      <c r="D297" s="96">
        <f>C297*B297</f>
        <v>60000</v>
      </c>
      <c r="E297" s="99" t="s">
        <v>232</v>
      </c>
    </row>
    <row r="298" spans="1:5" x14ac:dyDescent="0.25">
      <c r="A298" s="82"/>
      <c r="B298" s="83"/>
      <c r="C298" s="82" t="s">
        <v>122</v>
      </c>
      <c r="D298" s="83">
        <f>SUM(D296:D297)</f>
        <v>138000</v>
      </c>
      <c r="E298" s="100">
        <f>SUM(E296:E297)</f>
        <v>7.9553074218307138</v>
      </c>
    </row>
    <row r="300" spans="1:5" x14ac:dyDescent="0.25">
      <c r="A300" s="279" t="s">
        <v>331</v>
      </c>
      <c r="B300" s="279"/>
      <c r="C300" s="279"/>
      <c r="D300" s="279"/>
      <c r="E300" s="279"/>
    </row>
    <row r="301" spans="1:5" x14ac:dyDescent="0.25">
      <c r="A301" s="71" t="s">
        <v>92</v>
      </c>
      <c r="B301" s="71" t="s">
        <v>93</v>
      </c>
      <c r="C301" s="71" t="s">
        <v>227</v>
      </c>
      <c r="D301" s="71" t="s">
        <v>228</v>
      </c>
      <c r="E301" s="73" t="s">
        <v>229</v>
      </c>
    </row>
    <row r="302" spans="1:5" x14ac:dyDescent="0.25">
      <c r="A302" s="94" t="s">
        <v>332</v>
      </c>
      <c r="B302" s="78">
        <f>INSUMOS!B3</f>
        <v>64000</v>
      </c>
      <c r="C302" s="95">
        <v>2</v>
      </c>
      <c r="D302" s="96">
        <f>C302*B302</f>
        <v>128000</v>
      </c>
      <c r="E302" s="97">
        <f>C302*INSUMOS!E3</f>
        <v>12.430167846610493</v>
      </c>
    </row>
    <row r="303" spans="1:5" x14ac:dyDescent="0.25">
      <c r="A303" s="94" t="s">
        <v>333</v>
      </c>
      <c r="B303" s="78">
        <f>INSUMOS!B68</f>
        <v>60000</v>
      </c>
      <c r="C303" s="95">
        <v>1</v>
      </c>
      <c r="D303" s="96">
        <f>C303*B303</f>
        <v>60000</v>
      </c>
      <c r="E303" s="97">
        <f>INSUMOS!E68</f>
        <v>1.7</v>
      </c>
    </row>
    <row r="304" spans="1:5" x14ac:dyDescent="0.25">
      <c r="A304" s="94" t="s">
        <v>334</v>
      </c>
      <c r="B304" s="78">
        <f>INSUMOS!B263</f>
        <v>400000</v>
      </c>
      <c r="C304" s="98">
        <v>1</v>
      </c>
      <c r="D304" s="96">
        <f>C304*B304</f>
        <v>400000</v>
      </c>
      <c r="E304" s="99" t="s">
        <v>232</v>
      </c>
    </row>
    <row r="305" spans="1:5" x14ac:dyDescent="0.25">
      <c r="A305" s="82"/>
      <c r="B305" s="83"/>
      <c r="C305" s="82" t="s">
        <v>122</v>
      </c>
      <c r="D305" s="83">
        <f>SUM(D302:D304)</f>
        <v>588000</v>
      </c>
      <c r="E305" s="100">
        <f>SUM(E302:E304)</f>
        <v>14.130167846610492</v>
      </c>
    </row>
    <row r="307" spans="1:5" x14ac:dyDescent="0.25">
      <c r="A307" s="279" t="s">
        <v>335</v>
      </c>
      <c r="B307" s="279"/>
      <c r="C307" s="279"/>
      <c r="D307" s="279"/>
      <c r="E307" s="279"/>
    </row>
    <row r="308" spans="1:5" x14ac:dyDescent="0.25">
      <c r="A308" s="71" t="s">
        <v>92</v>
      </c>
      <c r="B308" s="71" t="s">
        <v>93</v>
      </c>
      <c r="C308" s="71" t="s">
        <v>227</v>
      </c>
      <c r="D308" s="71" t="s">
        <v>228</v>
      </c>
      <c r="E308" s="73" t="s">
        <v>229</v>
      </c>
    </row>
    <row r="309" spans="1:5" x14ac:dyDescent="0.25">
      <c r="A309" s="94" t="s">
        <v>324</v>
      </c>
      <c r="B309" s="78">
        <f>INSUMOS!B5</f>
        <v>154000</v>
      </c>
      <c r="C309" s="95">
        <v>1</v>
      </c>
      <c r="D309" s="96">
        <f>C309*B309</f>
        <v>154000</v>
      </c>
      <c r="E309" s="97">
        <f>INSUMOS!E5</f>
        <v>15.910614843661428</v>
      </c>
    </row>
    <row r="310" spans="1:5" x14ac:dyDescent="0.25">
      <c r="A310" s="94" t="s">
        <v>304</v>
      </c>
      <c r="B310" s="78">
        <f>INSUMOS!B70</f>
        <v>80000</v>
      </c>
      <c r="C310" s="95">
        <v>1</v>
      </c>
      <c r="D310" s="96">
        <f>C310*B310</f>
        <v>80000</v>
      </c>
      <c r="E310" s="97">
        <f>INSUMOS!E70</f>
        <v>3</v>
      </c>
    </row>
    <row r="311" spans="1:5" x14ac:dyDescent="0.25">
      <c r="A311" s="94" t="s">
        <v>305</v>
      </c>
      <c r="B311" s="78">
        <f>INSUMOS!B265</f>
        <v>480000</v>
      </c>
      <c r="C311" s="98">
        <v>1</v>
      </c>
      <c r="D311" s="96">
        <f>C311*B311</f>
        <v>480000</v>
      </c>
      <c r="E311" s="99" t="s">
        <v>232</v>
      </c>
    </row>
    <row r="312" spans="1:5" x14ac:dyDescent="0.25">
      <c r="A312" s="82"/>
      <c r="B312" s="83"/>
      <c r="C312" s="82" t="s">
        <v>122</v>
      </c>
      <c r="D312" s="83">
        <f>SUM(D309:D311)</f>
        <v>714000</v>
      </c>
      <c r="E312" s="100">
        <f>SUM(E309:E311)</f>
        <v>18.910614843661428</v>
      </c>
    </row>
    <row r="314" spans="1:5" x14ac:dyDescent="0.25">
      <c r="A314" s="279" t="s">
        <v>336</v>
      </c>
      <c r="B314" s="279"/>
      <c r="C314" s="279"/>
      <c r="D314" s="279"/>
      <c r="E314" s="279"/>
    </row>
    <row r="315" spans="1:5" x14ac:dyDescent="0.25">
      <c r="A315" s="71" t="s">
        <v>92</v>
      </c>
      <c r="B315" s="71" t="s">
        <v>93</v>
      </c>
      <c r="C315" s="71"/>
      <c r="D315" s="71"/>
      <c r="E315" s="73" t="s">
        <v>229</v>
      </c>
    </row>
    <row r="316" spans="1:5" x14ac:dyDescent="0.25">
      <c r="A316" s="94" t="s">
        <v>337</v>
      </c>
      <c r="B316" s="78">
        <f>INSUMOS!B14</f>
        <v>120000</v>
      </c>
      <c r="C316" s="95">
        <v>1.5</v>
      </c>
      <c r="D316" s="96">
        <f>C316*B316</f>
        <v>180000</v>
      </c>
      <c r="E316" s="102">
        <f>1.5*INSUMOS!E14</f>
        <v>9.3226258849578691</v>
      </c>
    </row>
    <row r="317" spans="1:5" x14ac:dyDescent="0.25">
      <c r="A317" s="94" t="s">
        <v>237</v>
      </c>
      <c r="B317" s="78">
        <f>INSUMOS!B260</f>
        <v>60000</v>
      </c>
      <c r="C317" s="98">
        <v>1</v>
      </c>
      <c r="D317" s="96">
        <f>C317*B317</f>
        <v>60000</v>
      </c>
      <c r="E317" s="99" t="s">
        <v>232</v>
      </c>
    </row>
    <row r="318" spans="1:5" x14ac:dyDescent="0.25">
      <c r="A318" s="82"/>
      <c r="B318" s="83"/>
      <c r="C318" s="82" t="s">
        <v>122</v>
      </c>
      <c r="D318" s="83">
        <f>SUM(D316:D317)</f>
        <v>240000</v>
      </c>
      <c r="E318" s="100">
        <f>SUM(E316:E317)</f>
        <v>9.3226258849578691</v>
      </c>
    </row>
    <row r="320" spans="1:5" x14ac:dyDescent="0.25">
      <c r="A320" s="279" t="s">
        <v>338</v>
      </c>
      <c r="B320" s="279"/>
      <c r="C320" s="279"/>
      <c r="D320" s="279"/>
      <c r="E320" s="279"/>
    </row>
    <row r="321" spans="1:5" x14ac:dyDescent="0.25">
      <c r="A321" s="71" t="s">
        <v>92</v>
      </c>
      <c r="B321" s="71" t="s">
        <v>93</v>
      </c>
      <c r="C321" s="71" t="s">
        <v>227</v>
      </c>
      <c r="D321" s="71" t="s">
        <v>228</v>
      </c>
      <c r="E321" s="73" t="s">
        <v>229</v>
      </c>
    </row>
    <row r="322" spans="1:5" x14ac:dyDescent="0.25">
      <c r="A322" s="94" t="s">
        <v>339</v>
      </c>
      <c r="B322" s="78">
        <f>INSUMOS!B15</f>
        <v>140000</v>
      </c>
      <c r="C322" s="95">
        <v>1.5</v>
      </c>
      <c r="D322" s="96">
        <f>C322*B322</f>
        <v>210000</v>
      </c>
      <c r="E322" s="97">
        <f>C322*INSUMOS!E15</f>
        <v>13.424581274339328</v>
      </c>
    </row>
    <row r="323" spans="1:5" x14ac:dyDescent="0.25">
      <c r="A323" s="94" t="s">
        <v>244</v>
      </c>
      <c r="B323" s="78">
        <f>INSUMOS!B261</f>
        <v>77000</v>
      </c>
      <c r="C323" s="98">
        <v>1</v>
      </c>
      <c r="D323" s="96">
        <f>C323*B323</f>
        <v>77000</v>
      </c>
      <c r="E323" s="99" t="s">
        <v>232</v>
      </c>
    </row>
    <row r="324" spans="1:5" x14ac:dyDescent="0.25">
      <c r="A324" s="82"/>
      <c r="B324" s="83"/>
      <c r="C324" s="82" t="s">
        <v>122</v>
      </c>
      <c r="D324" s="83">
        <f>SUM(D322:D323)</f>
        <v>287000</v>
      </c>
      <c r="E324" s="100">
        <f>SUM(E322:E323)</f>
        <v>13.424581274339328</v>
      </c>
    </row>
    <row r="326" spans="1:5" x14ac:dyDescent="0.25">
      <c r="A326" s="279" t="s">
        <v>340</v>
      </c>
      <c r="B326" s="279"/>
      <c r="C326" s="279"/>
      <c r="D326" s="279"/>
      <c r="E326" s="279"/>
    </row>
    <row r="327" spans="1:5" x14ac:dyDescent="0.25">
      <c r="A327" s="71" t="s">
        <v>92</v>
      </c>
      <c r="B327" s="71" t="s">
        <v>93</v>
      </c>
      <c r="C327" s="71"/>
      <c r="D327" s="71"/>
      <c r="E327" s="73" t="s">
        <v>229</v>
      </c>
    </row>
    <row r="328" spans="1:5" x14ac:dyDescent="0.25">
      <c r="A328" s="94" t="s">
        <v>337</v>
      </c>
      <c r="B328" s="78">
        <f>INSUMOS!B14</f>
        <v>120000</v>
      </c>
      <c r="C328" s="95">
        <v>2</v>
      </c>
      <c r="D328" s="96">
        <f>C328*B328</f>
        <v>240000</v>
      </c>
      <c r="E328" s="102">
        <f>C328*INSUMOS!E59</f>
        <v>22.6</v>
      </c>
    </row>
    <row r="329" spans="1:5" x14ac:dyDescent="0.25">
      <c r="A329" s="94" t="s">
        <v>237</v>
      </c>
      <c r="B329" s="78">
        <f>INSUMOS!B316</f>
        <v>80000</v>
      </c>
      <c r="C329" s="98">
        <v>1</v>
      </c>
      <c r="D329" s="96">
        <f>C329*B329</f>
        <v>80000</v>
      </c>
      <c r="E329" s="99" t="s">
        <v>232</v>
      </c>
    </row>
    <row r="330" spans="1:5" x14ac:dyDescent="0.25">
      <c r="A330" s="82"/>
      <c r="B330" s="83"/>
      <c r="C330" s="82" t="s">
        <v>122</v>
      </c>
      <c r="D330" s="83">
        <f>SUM(D328:D329)</f>
        <v>320000</v>
      </c>
      <c r="E330" s="100">
        <f>SUM(E328:E329)</f>
        <v>22.6</v>
      </c>
    </row>
    <row r="332" spans="1:5" x14ac:dyDescent="0.25">
      <c r="A332" s="279" t="s">
        <v>341</v>
      </c>
      <c r="B332" s="279"/>
      <c r="C332" s="279"/>
      <c r="D332" s="279"/>
      <c r="E332" s="279"/>
    </row>
    <row r="333" spans="1:5" x14ac:dyDescent="0.25">
      <c r="A333" s="71" t="s">
        <v>92</v>
      </c>
      <c r="B333" s="71" t="s">
        <v>93</v>
      </c>
      <c r="C333" s="71" t="s">
        <v>227</v>
      </c>
      <c r="D333" s="71" t="s">
        <v>228</v>
      </c>
      <c r="E333" s="73" t="s">
        <v>229</v>
      </c>
    </row>
    <row r="334" spans="1:5" x14ac:dyDescent="0.25">
      <c r="A334" s="94" t="s">
        <v>342</v>
      </c>
      <c r="B334" s="78">
        <f>INSUMOS!B15</f>
        <v>140000</v>
      </c>
      <c r="C334" s="95">
        <v>1</v>
      </c>
      <c r="D334" s="96">
        <f>C334*B334</f>
        <v>140000</v>
      </c>
      <c r="E334" s="97">
        <f>C334*INSUMOS!E15</f>
        <v>8.9497208495595526</v>
      </c>
    </row>
    <row r="335" spans="1:5" x14ac:dyDescent="0.25">
      <c r="A335" s="94" t="s">
        <v>244</v>
      </c>
      <c r="B335" s="78">
        <f>INSUMOS!B261</f>
        <v>77000</v>
      </c>
      <c r="C335" s="98">
        <v>1</v>
      </c>
      <c r="D335" s="96">
        <f>C335*B335</f>
        <v>77000</v>
      </c>
      <c r="E335" s="99" t="s">
        <v>232</v>
      </c>
    </row>
    <row r="336" spans="1:5" x14ac:dyDescent="0.25">
      <c r="A336" s="82"/>
      <c r="B336" s="83"/>
      <c r="C336" s="82" t="s">
        <v>122</v>
      </c>
      <c r="D336" s="83">
        <f>SUM(D334:D335)</f>
        <v>217000</v>
      </c>
      <c r="E336" s="100">
        <f>SUM(E334:E335)</f>
        <v>8.9497208495595526</v>
      </c>
    </row>
  </sheetData>
  <mergeCells count="52">
    <mergeCell ref="A326:E326"/>
    <mergeCell ref="A332:E332"/>
    <mergeCell ref="A294:E294"/>
    <mergeCell ref="A300:E300"/>
    <mergeCell ref="A307:E307"/>
    <mergeCell ref="A314:E314"/>
    <mergeCell ref="A320:E320"/>
    <mergeCell ref="A264:E264"/>
    <mergeCell ref="A270:E270"/>
    <mergeCell ref="A276:E276"/>
    <mergeCell ref="A282:E282"/>
    <mergeCell ref="A288:E288"/>
    <mergeCell ref="A232:E232"/>
    <mergeCell ref="A238:E238"/>
    <mergeCell ref="A244:E244"/>
    <mergeCell ref="A251:E251"/>
    <mergeCell ref="A257:E257"/>
    <mergeCell ref="A200:E200"/>
    <mergeCell ref="A206:E206"/>
    <mergeCell ref="A212:E212"/>
    <mergeCell ref="A218:E218"/>
    <mergeCell ref="A225:E225"/>
    <mergeCell ref="A170:E170"/>
    <mergeCell ref="A176:E176"/>
    <mergeCell ref="A182:E182"/>
    <mergeCell ref="A188:E188"/>
    <mergeCell ref="A194:E194"/>
    <mergeCell ref="A136:E136"/>
    <mergeCell ref="A143:E143"/>
    <mergeCell ref="A150:E150"/>
    <mergeCell ref="A157:E157"/>
    <mergeCell ref="A164:E164"/>
    <mergeCell ref="A103:E103"/>
    <mergeCell ref="A110:E110"/>
    <mergeCell ref="A117:E117"/>
    <mergeCell ref="A123:E123"/>
    <mergeCell ref="A129:E129"/>
    <mergeCell ref="A70:E70"/>
    <mergeCell ref="A76:E76"/>
    <mergeCell ref="A82:E82"/>
    <mergeCell ref="A89:E89"/>
    <mergeCell ref="A96:E96"/>
    <mergeCell ref="A35:E35"/>
    <mergeCell ref="A42:E42"/>
    <mergeCell ref="A49:E49"/>
    <mergeCell ref="A56:E56"/>
    <mergeCell ref="A63:E63"/>
    <mergeCell ref="A1:E1"/>
    <mergeCell ref="A8:E8"/>
    <mergeCell ref="A15:E15"/>
    <mergeCell ref="A22:E22"/>
    <mergeCell ref="A29:E2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92"/>
  <sheetViews>
    <sheetView topLeftCell="A371" zoomScale="85" zoomScaleNormal="85" workbookViewId="0">
      <selection activeCell="E391" sqref="E391"/>
    </sheetView>
  </sheetViews>
  <sheetFormatPr baseColWidth="10" defaultColWidth="9.140625" defaultRowHeight="15" x14ac:dyDescent="0.25"/>
  <cols>
    <col min="1" max="1" width="39.85546875" customWidth="1"/>
    <col min="2" max="4" width="12.42578125" customWidth="1"/>
    <col min="5" max="5" width="9.7109375" customWidth="1"/>
    <col min="6" max="6" width="9.140625" customWidth="1"/>
    <col min="7" max="7" width="32.140625" customWidth="1"/>
    <col min="8" max="8" width="12.42578125" customWidth="1"/>
    <col min="9" max="9" width="11.85546875" customWidth="1"/>
    <col min="10" max="1025" width="9.140625" customWidth="1"/>
  </cols>
  <sheetData>
    <row r="1" spans="1:5" x14ac:dyDescent="0.25">
      <c r="A1" s="279" t="s">
        <v>343</v>
      </c>
      <c r="B1" s="279"/>
      <c r="C1" s="279"/>
      <c r="D1" s="279"/>
      <c r="E1" s="279"/>
    </row>
    <row r="2" spans="1:5" x14ac:dyDescent="0.25">
      <c r="A2" s="71" t="s">
        <v>92</v>
      </c>
      <c r="B2" s="71" t="s">
        <v>344</v>
      </c>
      <c r="C2" s="71" t="s">
        <v>227</v>
      </c>
      <c r="D2" s="71" t="s">
        <v>228</v>
      </c>
      <c r="E2" s="73" t="s">
        <v>229</v>
      </c>
    </row>
    <row r="3" spans="1:5" x14ac:dyDescent="0.25">
      <c r="A3" s="74" t="s">
        <v>345</v>
      </c>
      <c r="B3" s="75">
        <f>INSUMOS!B72</f>
        <v>98250</v>
      </c>
      <c r="C3" s="103">
        <v>1</v>
      </c>
      <c r="D3" s="75">
        <f>C3*B3</f>
        <v>98250</v>
      </c>
      <c r="E3" s="102">
        <f>INSUMOS!E72</f>
        <v>4.93</v>
      </c>
    </row>
    <row r="4" spans="1:5" x14ac:dyDescent="0.25">
      <c r="A4" s="77" t="s">
        <v>346</v>
      </c>
      <c r="B4" s="78">
        <f>INSUMOS!B48</f>
        <v>751564.00000000012</v>
      </c>
      <c r="C4" s="104">
        <v>0.75</v>
      </c>
      <c r="D4" s="78">
        <f>C4*B4</f>
        <v>563673.00000000012</v>
      </c>
      <c r="E4" s="97">
        <f>2.4*INSUMOS!E48</f>
        <v>27.12</v>
      </c>
    </row>
    <row r="5" spans="1:5" x14ac:dyDescent="0.25">
      <c r="A5" s="77" t="s">
        <v>347</v>
      </c>
      <c r="B5" s="78">
        <f>INSUMOS!B278</f>
        <v>1050000</v>
      </c>
      <c r="C5" s="104">
        <v>1</v>
      </c>
      <c r="D5" s="78">
        <f>C5*B5</f>
        <v>1050000</v>
      </c>
      <c r="E5" s="105" t="s">
        <v>232</v>
      </c>
    </row>
    <row r="6" spans="1:5" x14ac:dyDescent="0.25">
      <c r="A6" s="82"/>
      <c r="B6" s="83"/>
      <c r="C6" s="83" t="s">
        <v>122</v>
      </c>
      <c r="D6" s="83">
        <f>SUM(D3:D5)</f>
        <v>1711923</v>
      </c>
      <c r="E6" s="100">
        <f>SUM(E3:E5)</f>
        <v>32.049999999999997</v>
      </c>
    </row>
    <row r="8" spans="1:5" x14ac:dyDescent="0.25">
      <c r="A8" s="279" t="s">
        <v>348</v>
      </c>
      <c r="B8" s="279"/>
      <c r="C8" s="279"/>
      <c r="D8" s="279"/>
      <c r="E8" s="279"/>
    </row>
    <row r="9" spans="1:5" x14ac:dyDescent="0.25">
      <c r="A9" s="72" t="s">
        <v>92</v>
      </c>
      <c r="B9" s="72" t="s">
        <v>93</v>
      </c>
      <c r="C9" s="71" t="s">
        <v>227</v>
      </c>
      <c r="D9" s="71" t="s">
        <v>228</v>
      </c>
      <c r="E9" s="73" t="s">
        <v>229</v>
      </c>
    </row>
    <row r="10" spans="1:5" x14ac:dyDescent="0.25">
      <c r="A10" s="74" t="s">
        <v>349</v>
      </c>
      <c r="B10" s="75">
        <f>INSUMOS!B73</f>
        <v>148500</v>
      </c>
      <c r="C10" s="103">
        <v>1</v>
      </c>
      <c r="D10" s="75">
        <f>C10*B10</f>
        <v>148500</v>
      </c>
      <c r="E10" s="102">
        <f>INSUMOS!E73</f>
        <v>7</v>
      </c>
    </row>
    <row r="11" spans="1:5" x14ac:dyDescent="0.25">
      <c r="A11" s="77" t="s">
        <v>350</v>
      </c>
      <c r="B11" s="78">
        <f>INSUMOS!B49</f>
        <v>1052700</v>
      </c>
      <c r="C11" s="104">
        <v>0.75</v>
      </c>
      <c r="D11" s="78">
        <f>C11*B11</f>
        <v>789525</v>
      </c>
      <c r="E11" s="97">
        <f>2.7*INSUMOS!E49</f>
        <v>43.443000000000005</v>
      </c>
    </row>
    <row r="12" spans="1:5" x14ac:dyDescent="0.25">
      <c r="A12" s="77" t="s">
        <v>351</v>
      </c>
      <c r="B12" s="78">
        <f>INSUMOS!B279</f>
        <v>1680000</v>
      </c>
      <c r="C12" s="104">
        <v>1</v>
      </c>
      <c r="D12" s="78">
        <f>C12*B12</f>
        <v>1680000</v>
      </c>
      <c r="E12" s="105" t="s">
        <v>232</v>
      </c>
    </row>
    <row r="13" spans="1:5" x14ac:dyDescent="0.25">
      <c r="A13" s="82"/>
      <c r="B13" s="83"/>
      <c r="C13" s="83" t="s">
        <v>122</v>
      </c>
      <c r="D13" s="83">
        <f>SUM(D10:D12)</f>
        <v>2618025</v>
      </c>
      <c r="E13" s="100">
        <f>SUM(E10:E12)</f>
        <v>50.443000000000005</v>
      </c>
    </row>
    <row r="15" spans="1:5" x14ac:dyDescent="0.25">
      <c r="A15" s="279" t="s">
        <v>352</v>
      </c>
      <c r="B15" s="279"/>
      <c r="C15" s="279"/>
      <c r="D15" s="279"/>
      <c r="E15" s="279"/>
    </row>
    <row r="16" spans="1:5" x14ac:dyDescent="0.25">
      <c r="A16" s="72" t="s">
        <v>92</v>
      </c>
      <c r="B16" s="72" t="s">
        <v>93</v>
      </c>
      <c r="C16" s="71" t="s">
        <v>227</v>
      </c>
      <c r="D16" s="71" t="s">
        <v>228</v>
      </c>
      <c r="E16" s="73" t="s">
        <v>229</v>
      </c>
    </row>
    <row r="17" spans="1:5" x14ac:dyDescent="0.25">
      <c r="A17" s="74" t="s">
        <v>345</v>
      </c>
      <c r="B17" s="75">
        <f>INSUMOS!B72</f>
        <v>98250</v>
      </c>
      <c r="C17" s="103">
        <v>1</v>
      </c>
      <c r="D17" s="75">
        <f>C17*B17</f>
        <v>98250</v>
      </c>
      <c r="E17" s="102">
        <f>INSUMOS!E72</f>
        <v>4.93</v>
      </c>
    </row>
    <row r="18" spans="1:5" x14ac:dyDescent="0.25">
      <c r="A18" s="94" t="s">
        <v>353</v>
      </c>
      <c r="B18" s="78">
        <f>INSUMOS!B48</f>
        <v>751564.00000000012</v>
      </c>
      <c r="C18" s="104">
        <v>0.75</v>
      </c>
      <c r="D18" s="78">
        <f>C18*B18</f>
        <v>563673.00000000012</v>
      </c>
      <c r="E18" s="97">
        <f>2.7*INSUMOS!E48</f>
        <v>30.510000000000005</v>
      </c>
    </row>
    <row r="19" spans="1:5" x14ac:dyDescent="0.25">
      <c r="A19" s="94" t="s">
        <v>347</v>
      </c>
      <c r="B19" s="78">
        <f>INSUMOS!B278</f>
        <v>1050000</v>
      </c>
      <c r="C19" s="104">
        <v>1</v>
      </c>
      <c r="D19" s="78">
        <f>C19*B19</f>
        <v>1050000</v>
      </c>
      <c r="E19" s="105" t="s">
        <v>232</v>
      </c>
    </row>
    <row r="20" spans="1:5" x14ac:dyDescent="0.25">
      <c r="A20" s="82"/>
      <c r="B20" s="83"/>
      <c r="C20" s="83" t="s">
        <v>122</v>
      </c>
      <c r="D20" s="83">
        <f>SUM(D17:D19)</f>
        <v>1711923</v>
      </c>
      <c r="E20" s="100">
        <f>SUM(E17:E19)</f>
        <v>35.440000000000005</v>
      </c>
    </row>
    <row r="22" spans="1:5" x14ac:dyDescent="0.25">
      <c r="A22" s="279" t="s">
        <v>354</v>
      </c>
      <c r="B22" s="279"/>
      <c r="C22" s="279"/>
      <c r="D22" s="279"/>
      <c r="E22" s="279"/>
    </row>
    <row r="23" spans="1:5" x14ac:dyDescent="0.25">
      <c r="A23" s="72" t="s">
        <v>92</v>
      </c>
      <c r="B23" s="72" t="s">
        <v>93</v>
      </c>
      <c r="C23" s="71" t="s">
        <v>227</v>
      </c>
      <c r="D23" s="71" t="s">
        <v>228</v>
      </c>
      <c r="E23" s="73" t="s">
        <v>229</v>
      </c>
    </row>
    <row r="24" spans="1:5" x14ac:dyDescent="0.25">
      <c r="A24" s="74" t="s">
        <v>355</v>
      </c>
      <c r="B24" s="75">
        <f>INSUMOS!B103</f>
        <v>62500</v>
      </c>
      <c r="C24" s="103">
        <v>3</v>
      </c>
      <c r="D24" s="75">
        <f>C24*B24</f>
        <v>187500</v>
      </c>
      <c r="E24" s="102">
        <f>INSUMOS!E103</f>
        <v>11.3</v>
      </c>
    </row>
    <row r="25" spans="1:5" x14ac:dyDescent="0.25">
      <c r="A25" s="94" t="s">
        <v>356</v>
      </c>
      <c r="B25" s="78">
        <f>INSUMOS!B65</f>
        <v>448340</v>
      </c>
      <c r="C25" s="104">
        <v>1.5</v>
      </c>
      <c r="D25" s="78">
        <f>C25*B25</f>
        <v>672510</v>
      </c>
      <c r="E25" s="97">
        <f>7.4*INSUMOS!E65</f>
        <v>208.68</v>
      </c>
    </row>
    <row r="26" spans="1:5" x14ac:dyDescent="0.25">
      <c r="A26" s="94" t="s">
        <v>357</v>
      </c>
      <c r="B26" s="78">
        <f>INSUMOS!B281</f>
        <v>2300000</v>
      </c>
      <c r="C26" s="104">
        <v>1</v>
      </c>
      <c r="D26" s="78">
        <f>C26*B26</f>
        <v>2300000</v>
      </c>
      <c r="E26" s="105" t="s">
        <v>232</v>
      </c>
    </row>
    <row r="27" spans="1:5" x14ac:dyDescent="0.25">
      <c r="A27" s="82"/>
      <c r="B27" s="83"/>
      <c r="C27" s="83"/>
      <c r="D27" s="83">
        <f>SUM(D24:D26)</f>
        <v>3160010</v>
      </c>
      <c r="E27" s="100">
        <f>SUM(E24:E26)</f>
        <v>219.98000000000002</v>
      </c>
    </row>
    <row r="29" spans="1:5" x14ac:dyDescent="0.25">
      <c r="A29" s="279" t="s">
        <v>358</v>
      </c>
      <c r="B29" s="279"/>
      <c r="C29" s="279"/>
      <c r="D29" s="279"/>
      <c r="E29" s="279"/>
    </row>
    <row r="30" spans="1:5" x14ac:dyDescent="0.25">
      <c r="A30" s="71" t="s">
        <v>92</v>
      </c>
      <c r="B30" s="71" t="s">
        <v>93</v>
      </c>
      <c r="C30" s="71" t="s">
        <v>227</v>
      </c>
      <c r="D30" s="71" t="s">
        <v>228</v>
      </c>
      <c r="E30" s="73" t="s">
        <v>229</v>
      </c>
    </row>
    <row r="31" spans="1:5" x14ac:dyDescent="0.25">
      <c r="A31" s="74" t="s">
        <v>345</v>
      </c>
      <c r="B31" s="75">
        <f>INSUMOS!B72</f>
        <v>98250</v>
      </c>
      <c r="C31" s="103">
        <v>1</v>
      </c>
      <c r="D31" s="75">
        <f>C31*B31</f>
        <v>98250</v>
      </c>
      <c r="E31" s="102">
        <f>INSUMOS!E72</f>
        <v>4.93</v>
      </c>
    </row>
    <row r="32" spans="1:5" x14ac:dyDescent="0.25">
      <c r="A32" s="94" t="s">
        <v>359</v>
      </c>
      <c r="B32" s="78">
        <f>INSUMOS!B48</f>
        <v>751564.00000000012</v>
      </c>
      <c r="C32" s="104">
        <v>0.5</v>
      </c>
      <c r="D32" s="78">
        <f>C32*B32</f>
        <v>375782.00000000006</v>
      </c>
      <c r="E32" s="97">
        <f>1.8*INSUMOS!E48</f>
        <v>20.340000000000003</v>
      </c>
    </row>
    <row r="33" spans="1:5" x14ac:dyDescent="0.25">
      <c r="A33" s="94" t="s">
        <v>347</v>
      </c>
      <c r="B33" s="78">
        <f>INSUMOS!B278</f>
        <v>1050000</v>
      </c>
      <c r="C33" s="104">
        <v>1</v>
      </c>
      <c r="D33" s="78">
        <f>C33*B33</f>
        <v>1050000</v>
      </c>
      <c r="E33" s="105" t="s">
        <v>232</v>
      </c>
    </row>
    <row r="34" spans="1:5" x14ac:dyDescent="0.25">
      <c r="A34" s="82"/>
      <c r="B34" s="83"/>
      <c r="C34" s="83"/>
      <c r="D34" s="83">
        <f>SUM(D31:D33)</f>
        <v>1524032</v>
      </c>
      <c r="E34" s="100">
        <f>SUM(E31:E33)</f>
        <v>25.270000000000003</v>
      </c>
    </row>
    <row r="37" spans="1:5" x14ac:dyDescent="0.25">
      <c r="A37" s="279" t="s">
        <v>360</v>
      </c>
      <c r="B37" s="279"/>
      <c r="C37" s="279"/>
      <c r="D37" s="279"/>
      <c r="E37" s="279"/>
    </row>
    <row r="38" spans="1:5" x14ac:dyDescent="0.25">
      <c r="A38" s="71" t="s">
        <v>92</v>
      </c>
      <c r="B38" s="71" t="s">
        <v>93</v>
      </c>
      <c r="C38" s="71" t="s">
        <v>227</v>
      </c>
      <c r="D38" s="71" t="s">
        <v>228</v>
      </c>
      <c r="E38" s="73" t="s">
        <v>229</v>
      </c>
    </row>
    <row r="39" spans="1:5" x14ac:dyDescent="0.25">
      <c r="A39" s="74" t="s">
        <v>361</v>
      </c>
      <c r="B39" s="75">
        <f>INSUMOS!B79</f>
        <v>82000</v>
      </c>
      <c r="C39" s="103">
        <v>1</v>
      </c>
      <c r="D39" s="75">
        <f>C39*B39</f>
        <v>82000</v>
      </c>
      <c r="E39" s="102">
        <f>INSUMOS!E79</f>
        <v>3.28</v>
      </c>
    </row>
    <row r="40" spans="1:5" x14ac:dyDescent="0.25">
      <c r="A40" s="94" t="s">
        <v>362</v>
      </c>
      <c r="B40" s="78">
        <f>INSUMOS!B47</f>
        <v>638000</v>
      </c>
      <c r="C40" s="104">
        <v>0.5</v>
      </c>
      <c r="D40" s="78">
        <f>C40*B40</f>
        <v>319000</v>
      </c>
      <c r="E40" s="97">
        <f>2*INSUMOS!E47</f>
        <v>17.260000000000002</v>
      </c>
    </row>
    <row r="41" spans="1:5" x14ac:dyDescent="0.25">
      <c r="A41" s="94" t="s">
        <v>363</v>
      </c>
      <c r="B41" s="78">
        <f>INSUMOS!B277</f>
        <v>600000</v>
      </c>
      <c r="C41" s="104">
        <v>1</v>
      </c>
      <c r="D41" s="78">
        <f>C41*B41</f>
        <v>600000</v>
      </c>
      <c r="E41" s="105"/>
    </row>
    <row r="42" spans="1:5" x14ac:dyDescent="0.25">
      <c r="A42" s="82"/>
      <c r="B42" s="83"/>
      <c r="C42" s="83"/>
      <c r="D42" s="83">
        <f>SUM(D39:D41)</f>
        <v>1001000</v>
      </c>
      <c r="E42" s="100">
        <f>SUM(E39:E41)</f>
        <v>20.540000000000003</v>
      </c>
    </row>
    <row r="44" spans="1:5" x14ac:dyDescent="0.25">
      <c r="A44" s="279" t="s">
        <v>364</v>
      </c>
      <c r="B44" s="279"/>
      <c r="C44" s="279"/>
      <c r="D44" s="279"/>
      <c r="E44" s="279"/>
    </row>
    <row r="45" spans="1:5" x14ac:dyDescent="0.25">
      <c r="A45" s="72" t="s">
        <v>92</v>
      </c>
      <c r="B45" s="72" t="s">
        <v>93</v>
      </c>
      <c r="C45" s="71" t="s">
        <v>227</v>
      </c>
      <c r="D45" s="71" t="s">
        <v>228</v>
      </c>
      <c r="E45" s="73" t="s">
        <v>229</v>
      </c>
    </row>
    <row r="46" spans="1:5" x14ac:dyDescent="0.25">
      <c r="A46" s="74" t="s">
        <v>349</v>
      </c>
      <c r="B46" s="75">
        <f>INSUMOS!B73</f>
        <v>148500</v>
      </c>
      <c r="C46" s="103">
        <v>1</v>
      </c>
      <c r="D46" s="75">
        <f>C46*B46</f>
        <v>148500</v>
      </c>
      <c r="E46" s="102">
        <f>INSUMOS!E73</f>
        <v>7</v>
      </c>
    </row>
    <row r="47" spans="1:5" x14ac:dyDescent="0.25">
      <c r="A47" s="94" t="s">
        <v>365</v>
      </c>
      <c r="B47" s="78">
        <f>INSUMOS!B49</f>
        <v>1052700</v>
      </c>
      <c r="C47" s="104">
        <v>1</v>
      </c>
      <c r="D47" s="78">
        <f>C47*B47</f>
        <v>1052700</v>
      </c>
      <c r="E47" s="97">
        <f>INSUMOS!E49*4.2</f>
        <v>67.578000000000003</v>
      </c>
    </row>
    <row r="48" spans="1:5" x14ac:dyDescent="0.25">
      <c r="A48" s="94" t="s">
        <v>351</v>
      </c>
      <c r="B48" s="78">
        <f>INSUMOS!B279</f>
        <v>1680000</v>
      </c>
      <c r="C48" s="104">
        <v>1</v>
      </c>
      <c r="D48" s="78">
        <f>C48*B48</f>
        <v>1680000</v>
      </c>
      <c r="E48" s="105" t="s">
        <v>232</v>
      </c>
    </row>
    <row r="49" spans="1:5" x14ac:dyDescent="0.25">
      <c r="A49" s="82"/>
      <c r="B49" s="83"/>
      <c r="C49" s="83"/>
      <c r="D49" s="83">
        <f>SUM(D46:D48)</f>
        <v>2881200</v>
      </c>
      <c r="E49" s="100">
        <f>SUM(E46:E48)</f>
        <v>74.578000000000003</v>
      </c>
    </row>
    <row r="51" spans="1:5" x14ac:dyDescent="0.25">
      <c r="A51" s="279" t="s">
        <v>366</v>
      </c>
      <c r="B51" s="279"/>
      <c r="C51" s="279"/>
      <c r="D51" s="279"/>
      <c r="E51" s="279"/>
    </row>
    <row r="52" spans="1:5" x14ac:dyDescent="0.25">
      <c r="A52" s="72"/>
      <c r="B52" s="72" t="s">
        <v>93</v>
      </c>
      <c r="C52" s="71" t="s">
        <v>227</v>
      </c>
      <c r="D52" s="71" t="s">
        <v>228</v>
      </c>
      <c r="E52" s="73" t="s">
        <v>229</v>
      </c>
    </row>
    <row r="53" spans="1:5" x14ac:dyDescent="0.25">
      <c r="A53" s="74" t="s">
        <v>367</v>
      </c>
      <c r="B53" s="75">
        <f>INSUMOS!B91</f>
        <v>325600</v>
      </c>
      <c r="C53" s="103">
        <v>1</v>
      </c>
      <c r="D53" s="75">
        <f>C53*B53</f>
        <v>325600</v>
      </c>
      <c r="E53" s="102">
        <f>INSUMOS!E91</f>
        <v>6.8</v>
      </c>
    </row>
    <row r="54" spans="1:5" x14ac:dyDescent="0.25">
      <c r="A54" s="94" t="s">
        <v>368</v>
      </c>
      <c r="B54" s="78">
        <f>INSUMOS!B60</f>
        <v>1752000</v>
      </c>
      <c r="C54" s="104">
        <v>0.75</v>
      </c>
      <c r="D54" s="78">
        <f>C54*B54</f>
        <v>1314000</v>
      </c>
      <c r="E54" s="97">
        <f>INSUMOS!E60</f>
        <v>16.09</v>
      </c>
    </row>
    <row r="55" spans="1:5" x14ac:dyDescent="0.25">
      <c r="A55" s="94" t="s">
        <v>351</v>
      </c>
      <c r="B55" s="78">
        <f>INSUMOS!B279</f>
        <v>1680000</v>
      </c>
      <c r="C55" s="104">
        <v>1</v>
      </c>
      <c r="D55" s="78">
        <f>C55*B55</f>
        <v>1680000</v>
      </c>
      <c r="E55" s="105" t="s">
        <v>232</v>
      </c>
    </row>
    <row r="56" spans="1:5" x14ac:dyDescent="0.25">
      <c r="A56" s="82"/>
      <c r="B56" s="83"/>
      <c r="C56" s="83"/>
      <c r="D56" s="83">
        <f>SUM(D53:D55)</f>
        <v>3319600</v>
      </c>
      <c r="E56" s="100">
        <f>SUM(E53:E55)</f>
        <v>22.89</v>
      </c>
    </row>
    <row r="58" spans="1:5" x14ac:dyDescent="0.25">
      <c r="A58" s="279" t="s">
        <v>369</v>
      </c>
      <c r="B58" s="279"/>
      <c r="C58" s="279"/>
      <c r="D58" s="279"/>
      <c r="E58" s="279"/>
    </row>
    <row r="59" spans="1:5" x14ac:dyDescent="0.25">
      <c r="A59" s="72"/>
      <c r="B59" s="72" t="s">
        <v>93</v>
      </c>
      <c r="C59" s="71" t="s">
        <v>227</v>
      </c>
      <c r="D59" s="71" t="s">
        <v>228</v>
      </c>
      <c r="E59" s="73" t="s">
        <v>229</v>
      </c>
    </row>
    <row r="60" spans="1:5" x14ac:dyDescent="0.25">
      <c r="A60" s="74" t="s">
        <v>370</v>
      </c>
      <c r="B60" s="75">
        <f>INSUMOS!B93</f>
        <v>480000</v>
      </c>
      <c r="C60" s="103">
        <v>1</v>
      </c>
      <c r="D60" s="75">
        <f>C60*B60</f>
        <v>480000</v>
      </c>
      <c r="E60" s="102">
        <f>INSUMOS!E93</f>
        <v>15</v>
      </c>
    </row>
    <row r="61" spans="1:5" x14ac:dyDescent="0.25">
      <c r="A61" s="77" t="s">
        <v>371</v>
      </c>
      <c r="B61" s="78">
        <f>INSUMOS!B62</f>
        <v>4770500</v>
      </c>
      <c r="C61" s="104">
        <v>1</v>
      </c>
      <c r="D61" s="78">
        <f>C61*B61</f>
        <v>4770500</v>
      </c>
      <c r="E61" s="97">
        <f>4.4*INSUMOS!E52</f>
        <v>187.44000000000003</v>
      </c>
    </row>
    <row r="62" spans="1:5" x14ac:dyDescent="0.25">
      <c r="A62" s="77" t="s">
        <v>372</v>
      </c>
      <c r="B62" s="78">
        <f>INSUMOS!B282</f>
        <v>3500000</v>
      </c>
      <c r="C62" s="104">
        <v>1</v>
      </c>
      <c r="D62" s="78">
        <f>C62*B62</f>
        <v>3500000</v>
      </c>
      <c r="E62" s="105" t="s">
        <v>232</v>
      </c>
    </row>
    <row r="63" spans="1:5" x14ac:dyDescent="0.25">
      <c r="A63" s="82"/>
      <c r="B63" s="83"/>
      <c r="C63" s="83"/>
      <c r="D63" s="83">
        <f>SUM(D60:D62)</f>
        <v>8750500</v>
      </c>
      <c r="E63" s="100">
        <f>SUM(E60:E62)</f>
        <v>202.44000000000003</v>
      </c>
    </row>
    <row r="65" spans="1:5" x14ac:dyDescent="0.25">
      <c r="A65" s="279" t="s">
        <v>373</v>
      </c>
      <c r="B65" s="279"/>
      <c r="C65" s="279"/>
      <c r="D65" s="279"/>
      <c r="E65" s="279"/>
    </row>
    <row r="66" spans="1:5" x14ac:dyDescent="0.25">
      <c r="A66" s="71" t="s">
        <v>92</v>
      </c>
      <c r="B66" s="71" t="s">
        <v>93</v>
      </c>
      <c r="C66" s="71" t="s">
        <v>227</v>
      </c>
      <c r="D66" s="71" t="s">
        <v>228</v>
      </c>
      <c r="E66" s="73" t="s">
        <v>229</v>
      </c>
    </row>
    <row r="67" spans="1:5" x14ac:dyDescent="0.25">
      <c r="A67" s="74" t="s">
        <v>361</v>
      </c>
      <c r="B67" s="75">
        <f>INSUMOS!B79</f>
        <v>82000</v>
      </c>
      <c r="C67" s="103">
        <v>1</v>
      </c>
      <c r="D67" s="75">
        <f>C67*B67</f>
        <v>82000</v>
      </c>
      <c r="E67" s="102">
        <f>INSUMOS!E71</f>
        <v>3</v>
      </c>
    </row>
    <row r="68" spans="1:5" x14ac:dyDescent="0.25">
      <c r="A68" s="94" t="s">
        <v>374</v>
      </c>
      <c r="B68" s="78">
        <f>INSUMOS!B47</f>
        <v>638000</v>
      </c>
      <c r="C68" s="104">
        <v>0.75</v>
      </c>
      <c r="D68" s="78">
        <f>C68*B68</f>
        <v>478500</v>
      </c>
      <c r="E68" s="97">
        <f>1.8*INSUMOS!E47</f>
        <v>15.534000000000002</v>
      </c>
    </row>
    <row r="69" spans="1:5" x14ac:dyDescent="0.25">
      <c r="A69" s="94" t="s">
        <v>363</v>
      </c>
      <c r="B69" s="78">
        <f>INSUMOS!B277</f>
        <v>600000</v>
      </c>
      <c r="C69" s="104">
        <v>1</v>
      </c>
      <c r="D69" s="78">
        <f>C69*B69</f>
        <v>600000</v>
      </c>
      <c r="E69" s="105"/>
    </row>
    <row r="70" spans="1:5" x14ac:dyDescent="0.25">
      <c r="A70" s="82"/>
      <c r="B70" s="83"/>
      <c r="C70" s="83"/>
      <c r="D70" s="83">
        <f>SUM(D67:D69)</f>
        <v>1160500</v>
      </c>
      <c r="E70" s="100">
        <f>SUM(E67:E69)</f>
        <v>18.534000000000002</v>
      </c>
    </row>
    <row r="72" spans="1:5" x14ac:dyDescent="0.25">
      <c r="A72" s="279" t="s">
        <v>375</v>
      </c>
      <c r="B72" s="279"/>
      <c r="C72" s="279"/>
      <c r="D72" s="279"/>
      <c r="E72" s="279"/>
    </row>
    <row r="73" spans="1:5" x14ac:dyDescent="0.25">
      <c r="A73" s="72"/>
      <c r="B73" s="72" t="s">
        <v>93</v>
      </c>
      <c r="C73" s="71" t="s">
        <v>227</v>
      </c>
      <c r="D73" s="71" t="s">
        <v>228</v>
      </c>
      <c r="E73" s="73" t="s">
        <v>229</v>
      </c>
    </row>
    <row r="74" spans="1:5" x14ac:dyDescent="0.25">
      <c r="A74" s="74" t="s">
        <v>376</v>
      </c>
      <c r="B74" s="75">
        <f>INSUMOS!B92</f>
        <v>330000</v>
      </c>
      <c r="C74" s="103">
        <v>1</v>
      </c>
      <c r="D74" s="75">
        <f>C74*B74</f>
        <v>330000</v>
      </c>
      <c r="E74" s="102">
        <f>INSUMOS!E92</f>
        <v>11.3</v>
      </c>
    </row>
    <row r="75" spans="1:5" x14ac:dyDescent="0.25">
      <c r="A75" s="77" t="s">
        <v>377</v>
      </c>
      <c r="B75" s="78">
        <f>INSUMOS!B61</f>
        <v>3600000</v>
      </c>
      <c r="C75" s="104">
        <v>1</v>
      </c>
      <c r="D75" s="78">
        <f>C75*B75</f>
        <v>3600000</v>
      </c>
      <c r="E75" s="97">
        <f>4.1*INSUMOS!E61</f>
        <v>115.61999999999999</v>
      </c>
    </row>
    <row r="76" spans="1:5" x14ac:dyDescent="0.25">
      <c r="A76" s="77" t="s">
        <v>357</v>
      </c>
      <c r="B76" s="78">
        <f>INSUMOS!B281</f>
        <v>2300000</v>
      </c>
      <c r="C76" s="104">
        <v>1</v>
      </c>
      <c r="D76" s="78">
        <f>C76*B76</f>
        <v>2300000</v>
      </c>
      <c r="E76" s="105" t="s">
        <v>232</v>
      </c>
    </row>
    <row r="77" spans="1:5" x14ac:dyDescent="0.25">
      <c r="A77" s="82"/>
      <c r="B77" s="83"/>
      <c r="C77" s="83"/>
      <c r="D77" s="83">
        <f>SUM(D74:D76)</f>
        <v>6230000</v>
      </c>
      <c r="E77" s="100">
        <f>SUM(E74:E76)</f>
        <v>126.91999999999999</v>
      </c>
    </row>
    <row r="79" spans="1:5" x14ac:dyDescent="0.25">
      <c r="A79" s="279" t="s">
        <v>378</v>
      </c>
      <c r="B79" s="279"/>
      <c r="C79" s="279"/>
      <c r="D79" s="279"/>
      <c r="E79" s="279"/>
    </row>
    <row r="80" spans="1:5" x14ac:dyDescent="0.25">
      <c r="A80" s="72"/>
      <c r="B80" s="72" t="s">
        <v>93</v>
      </c>
      <c r="C80" s="71" t="s">
        <v>227</v>
      </c>
      <c r="D80" s="71" t="s">
        <v>228</v>
      </c>
      <c r="E80" s="73" t="s">
        <v>229</v>
      </c>
    </row>
    <row r="81" spans="1:5" x14ac:dyDescent="0.25">
      <c r="A81" s="74" t="s">
        <v>379</v>
      </c>
      <c r="B81" s="75">
        <f>INSUMOS!B74</f>
        <v>212000</v>
      </c>
      <c r="C81" s="103">
        <v>1</v>
      </c>
      <c r="D81" s="75">
        <f>C81*B81</f>
        <v>212000</v>
      </c>
      <c r="E81" s="102">
        <f>INSUMOS!E74</f>
        <v>11.3</v>
      </c>
    </row>
    <row r="82" spans="1:5" x14ac:dyDescent="0.25">
      <c r="A82" s="77" t="s">
        <v>380</v>
      </c>
      <c r="B82" s="78">
        <f>INSUMOS!B51</f>
        <v>2978800.0000000005</v>
      </c>
      <c r="C82" s="104">
        <v>1</v>
      </c>
      <c r="D82" s="78">
        <f>C82*B82</f>
        <v>2978800.0000000005</v>
      </c>
      <c r="E82" s="97">
        <f>4.1*INSUMOS!E51</f>
        <v>115.61999999999999</v>
      </c>
    </row>
    <row r="83" spans="1:5" x14ac:dyDescent="0.25">
      <c r="A83" s="77" t="s">
        <v>357</v>
      </c>
      <c r="B83" s="78">
        <f>INSUMOS!B281</f>
        <v>2300000</v>
      </c>
      <c r="C83" s="104">
        <v>1</v>
      </c>
      <c r="D83" s="78">
        <f>C83*B83</f>
        <v>2300000</v>
      </c>
      <c r="E83" s="105" t="s">
        <v>232</v>
      </c>
    </row>
    <row r="84" spans="1:5" x14ac:dyDescent="0.25">
      <c r="A84" s="82"/>
      <c r="B84" s="83"/>
      <c r="C84" s="83"/>
      <c r="D84" s="83">
        <f>SUM(D81:D83)</f>
        <v>5490800</v>
      </c>
      <c r="E84" s="100">
        <f>SUM(E81:E83)</f>
        <v>126.91999999999999</v>
      </c>
    </row>
    <row r="86" spans="1:5" x14ac:dyDescent="0.25">
      <c r="A86" s="279" t="s">
        <v>381</v>
      </c>
      <c r="B86" s="279"/>
      <c r="C86" s="279"/>
      <c r="D86" s="279"/>
      <c r="E86" s="279"/>
    </row>
    <row r="87" spans="1:5" x14ac:dyDescent="0.25">
      <c r="A87" s="72" t="s">
        <v>92</v>
      </c>
      <c r="B87" s="72" t="s">
        <v>93</v>
      </c>
      <c r="C87" s="71" t="s">
        <v>227</v>
      </c>
      <c r="D87" s="71" t="s">
        <v>228</v>
      </c>
      <c r="E87" s="73" t="s">
        <v>229</v>
      </c>
    </row>
    <row r="88" spans="1:5" x14ac:dyDescent="0.25">
      <c r="A88" s="74" t="s">
        <v>367</v>
      </c>
      <c r="B88" s="75">
        <f>INSUMOS!B91</f>
        <v>325600</v>
      </c>
      <c r="C88" s="103">
        <v>1</v>
      </c>
      <c r="D88" s="75">
        <f>C88*B88</f>
        <v>325600</v>
      </c>
      <c r="E88" s="102">
        <f>INSUMOS!E91</f>
        <v>6.8</v>
      </c>
    </row>
    <row r="89" spans="1:5" x14ac:dyDescent="0.25">
      <c r="A89" s="94" t="s">
        <v>382</v>
      </c>
      <c r="B89" s="78">
        <f>INSUMOS!B60</f>
        <v>1752000</v>
      </c>
      <c r="C89" s="104">
        <v>1</v>
      </c>
      <c r="D89" s="78">
        <f>C89*B89</f>
        <v>1752000</v>
      </c>
      <c r="E89" s="97">
        <f>4.3*INSUMOS!E60</f>
        <v>69.186999999999998</v>
      </c>
    </row>
    <row r="90" spans="1:5" x14ac:dyDescent="0.25">
      <c r="A90" s="94" t="s">
        <v>351</v>
      </c>
      <c r="B90" s="78">
        <f>INSUMOS!B279</f>
        <v>1680000</v>
      </c>
      <c r="C90" s="104">
        <v>1</v>
      </c>
      <c r="D90" s="78">
        <f>C90*B90</f>
        <v>1680000</v>
      </c>
      <c r="E90" s="105" t="s">
        <v>232</v>
      </c>
    </row>
    <row r="91" spans="1:5" x14ac:dyDescent="0.25">
      <c r="A91" s="82"/>
      <c r="B91" s="83"/>
      <c r="C91" s="83"/>
      <c r="D91" s="83">
        <f>SUM(D88:D90)</f>
        <v>3757600</v>
      </c>
      <c r="E91" s="100">
        <f>SUM(E88:E90)</f>
        <v>75.986999999999995</v>
      </c>
    </row>
    <row r="93" spans="1:5" x14ac:dyDescent="0.25">
      <c r="A93" s="279" t="s">
        <v>383</v>
      </c>
      <c r="B93" s="279"/>
      <c r="C93" s="279"/>
      <c r="D93" s="279"/>
      <c r="E93" s="279"/>
    </row>
    <row r="94" spans="1:5" x14ac:dyDescent="0.25">
      <c r="A94" s="72" t="s">
        <v>92</v>
      </c>
      <c r="B94" s="72" t="s">
        <v>93</v>
      </c>
      <c r="C94" s="71" t="s">
        <v>227</v>
      </c>
      <c r="D94" s="71" t="s">
        <v>228</v>
      </c>
      <c r="E94" s="73" t="s">
        <v>229</v>
      </c>
    </row>
    <row r="95" spans="1:5" x14ac:dyDescent="0.25">
      <c r="A95" s="74" t="s">
        <v>367</v>
      </c>
      <c r="B95" s="75">
        <f>INSUMOS!B91</f>
        <v>325600</v>
      </c>
      <c r="C95" s="103">
        <v>1</v>
      </c>
      <c r="D95" s="75">
        <f>C95*B95</f>
        <v>325600</v>
      </c>
      <c r="E95" s="102">
        <f>INSUMOS!E91</f>
        <v>6.8</v>
      </c>
    </row>
    <row r="96" spans="1:5" x14ac:dyDescent="0.25">
      <c r="A96" s="94" t="s">
        <v>382</v>
      </c>
      <c r="B96" s="78">
        <f>INSUMOS!B60</f>
        <v>1752000</v>
      </c>
      <c r="C96" s="104">
        <v>0.75</v>
      </c>
      <c r="D96" s="78">
        <f>C96*B96</f>
        <v>1314000</v>
      </c>
      <c r="E96" s="97">
        <f>1.7*INSUMOS!E60</f>
        <v>27.352999999999998</v>
      </c>
    </row>
    <row r="97" spans="1:5" x14ac:dyDescent="0.25">
      <c r="A97" s="94" t="s">
        <v>351</v>
      </c>
      <c r="B97" s="78">
        <f>INSUMOS!B279</f>
        <v>1680000</v>
      </c>
      <c r="C97" s="104">
        <v>1</v>
      </c>
      <c r="D97" s="78">
        <f>C97*B97</f>
        <v>1680000</v>
      </c>
      <c r="E97" s="105" t="s">
        <v>232</v>
      </c>
    </row>
    <row r="98" spans="1:5" x14ac:dyDescent="0.25">
      <c r="A98" s="82"/>
      <c r="B98" s="83"/>
      <c r="C98" s="83"/>
      <c r="D98" s="83">
        <f>SUM(D95:D97)</f>
        <v>3319600</v>
      </c>
      <c r="E98" s="100">
        <f>SUM(E95:E97)</f>
        <v>34.152999999999999</v>
      </c>
    </row>
    <row r="100" spans="1:5" x14ac:dyDescent="0.25">
      <c r="A100" s="279" t="s">
        <v>384</v>
      </c>
      <c r="B100" s="279"/>
      <c r="C100" s="279"/>
      <c r="D100" s="279"/>
      <c r="E100" s="279"/>
    </row>
    <row r="101" spans="1:5" x14ac:dyDescent="0.25">
      <c r="A101" s="72" t="s">
        <v>92</v>
      </c>
      <c r="B101" s="72" t="s">
        <v>93</v>
      </c>
      <c r="C101" s="71" t="s">
        <v>227</v>
      </c>
      <c r="D101" s="71" t="s">
        <v>228</v>
      </c>
      <c r="E101" s="73" t="s">
        <v>229</v>
      </c>
    </row>
    <row r="102" spans="1:5" x14ac:dyDescent="0.25">
      <c r="A102" s="74" t="s">
        <v>367</v>
      </c>
      <c r="B102" s="75">
        <f>INSUMOS!B91</f>
        <v>325600</v>
      </c>
      <c r="C102" s="103">
        <v>1</v>
      </c>
      <c r="D102" s="75">
        <f>C102*B102</f>
        <v>325600</v>
      </c>
      <c r="E102" s="102">
        <f>INSUMOS!E91</f>
        <v>6.8</v>
      </c>
    </row>
    <row r="103" spans="1:5" x14ac:dyDescent="0.25">
      <c r="A103" s="94" t="s">
        <v>385</v>
      </c>
      <c r="B103" s="78">
        <f>INSUMOS!B60</f>
        <v>1752000</v>
      </c>
      <c r="C103" s="104">
        <v>0.75</v>
      </c>
      <c r="D103" s="78">
        <f>C103*B103</f>
        <v>1314000</v>
      </c>
      <c r="E103" s="97">
        <f>4.3*INSUMOS!E81</f>
        <v>22.79</v>
      </c>
    </row>
    <row r="104" spans="1:5" x14ac:dyDescent="0.25">
      <c r="A104" s="94" t="s">
        <v>351</v>
      </c>
      <c r="B104" s="78">
        <f>INSUMOS!B279</f>
        <v>1680000</v>
      </c>
      <c r="C104" s="104">
        <v>1</v>
      </c>
      <c r="D104" s="78">
        <f>C104*B104</f>
        <v>1680000</v>
      </c>
      <c r="E104" s="105" t="s">
        <v>232</v>
      </c>
    </row>
    <row r="105" spans="1:5" x14ac:dyDescent="0.25">
      <c r="A105" s="82"/>
      <c r="B105" s="83"/>
      <c r="C105" s="83"/>
      <c r="D105" s="83">
        <f>SUM(D102:D104)</f>
        <v>3319600</v>
      </c>
      <c r="E105" s="100">
        <f>SUM(E102:E104)</f>
        <v>29.59</v>
      </c>
    </row>
    <row r="107" spans="1:5" x14ac:dyDescent="0.25">
      <c r="A107" s="279" t="s">
        <v>386</v>
      </c>
      <c r="B107" s="279"/>
      <c r="C107" s="279"/>
      <c r="D107" s="279"/>
      <c r="E107" s="279"/>
    </row>
    <row r="108" spans="1:5" x14ac:dyDescent="0.25">
      <c r="A108" s="71" t="s">
        <v>92</v>
      </c>
      <c r="B108" s="71" t="s">
        <v>93</v>
      </c>
      <c r="C108" s="71" t="s">
        <v>227</v>
      </c>
      <c r="D108" s="71" t="s">
        <v>228</v>
      </c>
      <c r="E108" s="73" t="s">
        <v>229</v>
      </c>
    </row>
    <row r="109" spans="1:5" x14ac:dyDescent="0.25">
      <c r="A109" s="74" t="s">
        <v>361</v>
      </c>
      <c r="B109" s="75">
        <f>INSUMOS!B71</f>
        <v>80000</v>
      </c>
      <c r="C109" s="103">
        <v>1</v>
      </c>
      <c r="D109" s="75">
        <f>C109*B109</f>
        <v>80000</v>
      </c>
      <c r="E109" s="102">
        <f>INSUMOS!E71</f>
        <v>3</v>
      </c>
    </row>
    <row r="110" spans="1:5" x14ac:dyDescent="0.25">
      <c r="A110" s="94" t="s">
        <v>387</v>
      </c>
      <c r="B110" s="78">
        <f>INSUMOS!B47</f>
        <v>638000</v>
      </c>
      <c r="C110" s="104">
        <v>0.85</v>
      </c>
      <c r="D110" s="78">
        <f>C110*B110</f>
        <v>542300</v>
      </c>
      <c r="E110" s="97">
        <f>3.7*INSUMOS!E47</f>
        <v>31.931000000000004</v>
      </c>
    </row>
    <row r="111" spans="1:5" x14ac:dyDescent="0.25">
      <c r="A111" s="94" t="s">
        <v>363</v>
      </c>
      <c r="B111" s="78">
        <f>INSUMOS!B277</f>
        <v>600000</v>
      </c>
      <c r="C111" s="104">
        <v>1</v>
      </c>
      <c r="D111" s="78">
        <f>C111*B111</f>
        <v>600000</v>
      </c>
      <c r="E111" s="105"/>
    </row>
    <row r="112" spans="1:5" x14ac:dyDescent="0.25">
      <c r="A112" s="82"/>
      <c r="B112" s="83"/>
      <c r="C112" s="83"/>
      <c r="D112" s="83">
        <f>SUM(D109:D111)</f>
        <v>1222300</v>
      </c>
      <c r="E112" s="100">
        <f>SUM(E109:E111)</f>
        <v>34.931000000000004</v>
      </c>
    </row>
    <row r="114" spans="1:5" x14ac:dyDescent="0.25">
      <c r="A114" s="279" t="s">
        <v>388</v>
      </c>
      <c r="B114" s="279"/>
      <c r="C114" s="279"/>
      <c r="D114" s="279"/>
      <c r="E114" s="279"/>
    </row>
    <row r="115" spans="1:5" x14ac:dyDescent="0.25">
      <c r="A115" s="72" t="s">
        <v>92</v>
      </c>
      <c r="B115" s="72" t="s">
        <v>93</v>
      </c>
      <c r="C115" s="71" t="s">
        <v>227</v>
      </c>
      <c r="D115" s="71" t="s">
        <v>228</v>
      </c>
      <c r="E115" s="73" t="s">
        <v>229</v>
      </c>
    </row>
    <row r="116" spans="1:5" x14ac:dyDescent="0.25">
      <c r="A116" s="74" t="s">
        <v>345</v>
      </c>
      <c r="B116" s="75">
        <f>INSUMOS!B72</f>
        <v>98250</v>
      </c>
      <c r="C116" s="103">
        <v>1</v>
      </c>
      <c r="D116" s="75">
        <f>C116*B116</f>
        <v>98250</v>
      </c>
      <c r="E116" s="102">
        <f>INSUMOS!E72</f>
        <v>4.93</v>
      </c>
    </row>
    <row r="117" spans="1:5" x14ac:dyDescent="0.25">
      <c r="A117" s="94" t="s">
        <v>389</v>
      </c>
      <c r="B117" s="78">
        <f>INSUMOS!B48</f>
        <v>751564.00000000012</v>
      </c>
      <c r="C117" s="104">
        <v>0.85</v>
      </c>
      <c r="D117" s="78">
        <f>C117*B117</f>
        <v>638829.40000000014</v>
      </c>
      <c r="E117" s="97">
        <f>3.8*INSUMOS!E48</f>
        <v>42.94</v>
      </c>
    </row>
    <row r="118" spans="1:5" x14ac:dyDescent="0.25">
      <c r="A118" s="94" t="s">
        <v>347</v>
      </c>
      <c r="B118" s="78">
        <f>INSUMOS!B278</f>
        <v>1050000</v>
      </c>
      <c r="C118" s="104">
        <v>1</v>
      </c>
      <c r="D118" s="78">
        <f>C118*B118</f>
        <v>1050000</v>
      </c>
      <c r="E118" s="105" t="s">
        <v>232</v>
      </c>
    </row>
    <row r="119" spans="1:5" x14ac:dyDescent="0.25">
      <c r="A119" s="82"/>
      <c r="B119" s="83"/>
      <c r="C119" s="83" t="s">
        <v>122</v>
      </c>
      <c r="D119" s="83">
        <f>SUM(D116:D118)</f>
        <v>1787079.4000000001</v>
      </c>
      <c r="E119" s="100">
        <f>SUM(E116:E118)</f>
        <v>47.87</v>
      </c>
    </row>
    <row r="121" spans="1:5" x14ac:dyDescent="0.25">
      <c r="A121" s="279" t="s">
        <v>390</v>
      </c>
      <c r="B121" s="279"/>
      <c r="C121" s="279"/>
      <c r="D121" s="279"/>
      <c r="E121" s="279"/>
    </row>
    <row r="122" spans="1:5" x14ac:dyDescent="0.25">
      <c r="A122" s="72" t="s">
        <v>92</v>
      </c>
      <c r="B122" s="72" t="s">
        <v>93</v>
      </c>
      <c r="C122" s="71" t="s">
        <v>227</v>
      </c>
      <c r="D122" s="71" t="s">
        <v>228</v>
      </c>
      <c r="E122" s="73" t="s">
        <v>229</v>
      </c>
    </row>
    <row r="123" spans="1:5" x14ac:dyDescent="0.25">
      <c r="A123" s="74" t="s">
        <v>391</v>
      </c>
      <c r="B123" s="75">
        <f>INSUMOS!B75</f>
        <v>310000</v>
      </c>
      <c r="C123" s="103">
        <v>1</v>
      </c>
      <c r="D123" s="75">
        <f>C123*B123</f>
        <v>310000</v>
      </c>
      <c r="E123" s="102">
        <f>INSUMOS!E75</f>
        <v>19.600000000000001</v>
      </c>
    </row>
    <row r="124" spans="1:5" x14ac:dyDescent="0.25">
      <c r="A124" s="94" t="s">
        <v>392</v>
      </c>
      <c r="B124" s="78">
        <f>INSUMOS!B52</f>
        <v>4669500</v>
      </c>
      <c r="C124" s="104">
        <v>1</v>
      </c>
      <c r="D124" s="78">
        <f>C124*B124</f>
        <v>4669500</v>
      </c>
      <c r="E124" s="97">
        <f>INSUMOS!E52*3</f>
        <v>127.80000000000001</v>
      </c>
    </row>
    <row r="125" spans="1:5" x14ac:dyDescent="0.25">
      <c r="A125" s="94" t="s">
        <v>372</v>
      </c>
      <c r="B125" s="78">
        <f>INSUMOS!B282</f>
        <v>3500000</v>
      </c>
      <c r="C125" s="104">
        <v>1</v>
      </c>
      <c r="D125" s="78">
        <f>C125*B125</f>
        <v>3500000</v>
      </c>
      <c r="E125" s="105" t="s">
        <v>232</v>
      </c>
    </row>
    <row r="126" spans="1:5" x14ac:dyDescent="0.25">
      <c r="A126" s="82"/>
      <c r="B126" s="83"/>
      <c r="C126" s="83" t="s">
        <v>122</v>
      </c>
      <c r="D126" s="83">
        <f>SUM(D123:D125)</f>
        <v>8479500</v>
      </c>
      <c r="E126" s="100">
        <f>SUM(E123:E125)</f>
        <v>147.4</v>
      </c>
    </row>
    <row r="128" spans="1:5" x14ac:dyDescent="0.25">
      <c r="A128" s="279" t="s">
        <v>393</v>
      </c>
      <c r="B128" s="279"/>
      <c r="C128" s="279"/>
      <c r="D128" s="279"/>
      <c r="E128" s="279"/>
    </row>
    <row r="129" spans="1:5" x14ac:dyDescent="0.25">
      <c r="A129" s="72" t="s">
        <v>92</v>
      </c>
      <c r="B129" s="72" t="s">
        <v>93</v>
      </c>
      <c r="C129" s="71" t="s">
        <v>227</v>
      </c>
      <c r="D129" s="71" t="s">
        <v>228</v>
      </c>
      <c r="E129" s="73" t="s">
        <v>229</v>
      </c>
    </row>
    <row r="130" spans="1:5" x14ac:dyDescent="0.25">
      <c r="A130" s="74" t="s">
        <v>370</v>
      </c>
      <c r="B130" s="75">
        <f>INSUMOS!B93</f>
        <v>480000</v>
      </c>
      <c r="C130" s="103">
        <v>1</v>
      </c>
      <c r="D130" s="75">
        <f>C130*B130</f>
        <v>480000</v>
      </c>
      <c r="E130" s="102">
        <f>INSUMOS!E93</f>
        <v>15</v>
      </c>
    </row>
    <row r="131" spans="1:5" x14ac:dyDescent="0.25">
      <c r="A131" s="94" t="s">
        <v>394</v>
      </c>
      <c r="B131" s="78">
        <f>INSUMOS!B62</f>
        <v>4770500</v>
      </c>
      <c r="C131" s="104">
        <v>1</v>
      </c>
      <c r="D131" s="78">
        <f>C131*B131</f>
        <v>4770500</v>
      </c>
      <c r="E131" s="97">
        <f>3*INSUMOS!E62</f>
        <v>127.80000000000001</v>
      </c>
    </row>
    <row r="132" spans="1:5" x14ac:dyDescent="0.25">
      <c r="A132" s="94" t="s">
        <v>372</v>
      </c>
      <c r="B132" s="78">
        <f>INSUMOS!B282</f>
        <v>3500000</v>
      </c>
      <c r="C132" s="104">
        <v>1</v>
      </c>
      <c r="D132" s="78">
        <f>C132*B132</f>
        <v>3500000</v>
      </c>
      <c r="E132" s="105" t="s">
        <v>232</v>
      </c>
    </row>
    <row r="133" spans="1:5" x14ac:dyDescent="0.25">
      <c r="A133" s="82"/>
      <c r="B133" s="83"/>
      <c r="C133" s="83" t="s">
        <v>122</v>
      </c>
      <c r="D133" s="83">
        <f>SUM(D130:D132)</f>
        <v>8750500</v>
      </c>
      <c r="E133" s="100">
        <f>SUM(E130:E132)</f>
        <v>142.80000000000001</v>
      </c>
    </row>
    <row r="135" spans="1:5" x14ac:dyDescent="0.25">
      <c r="A135" s="279" t="s">
        <v>395</v>
      </c>
      <c r="B135" s="279"/>
      <c r="C135" s="279"/>
      <c r="D135" s="279"/>
      <c r="E135" s="279"/>
    </row>
    <row r="136" spans="1:5" x14ac:dyDescent="0.25">
      <c r="A136" s="72" t="s">
        <v>92</v>
      </c>
      <c r="B136" s="72" t="s">
        <v>93</v>
      </c>
      <c r="C136" s="71" t="s">
        <v>227</v>
      </c>
      <c r="D136" s="71" t="s">
        <v>228</v>
      </c>
      <c r="E136" s="73" t="s">
        <v>229</v>
      </c>
    </row>
    <row r="137" spans="1:5" x14ac:dyDescent="0.25">
      <c r="A137" s="74" t="s">
        <v>367</v>
      </c>
      <c r="B137" s="75">
        <f>INSUMOS!B91</f>
        <v>325600</v>
      </c>
      <c r="C137" s="103">
        <v>1</v>
      </c>
      <c r="D137" s="75">
        <f>C137*B137</f>
        <v>325600</v>
      </c>
      <c r="E137" s="102">
        <f>INSUMOS!E91</f>
        <v>6.8</v>
      </c>
    </row>
    <row r="138" spans="1:5" x14ac:dyDescent="0.25">
      <c r="A138" s="94" t="s">
        <v>396</v>
      </c>
      <c r="B138" s="78">
        <f>INSUMOS!B60</f>
        <v>1752000</v>
      </c>
      <c r="C138" s="104">
        <v>0.75</v>
      </c>
      <c r="D138" s="78">
        <f>C138*B138</f>
        <v>1314000</v>
      </c>
      <c r="E138" s="97">
        <f>2.2*INSUMOS!E60</f>
        <v>35.398000000000003</v>
      </c>
    </row>
    <row r="139" spans="1:5" x14ac:dyDescent="0.25">
      <c r="A139" s="94" t="s">
        <v>351</v>
      </c>
      <c r="B139" s="78">
        <f>INSUMOS!B279</f>
        <v>1680000</v>
      </c>
      <c r="C139" s="104">
        <v>1</v>
      </c>
      <c r="D139" s="78">
        <f>C139*B139</f>
        <v>1680000</v>
      </c>
      <c r="E139" s="105" t="s">
        <v>232</v>
      </c>
    </row>
    <row r="140" spans="1:5" x14ac:dyDescent="0.25">
      <c r="A140" s="82"/>
      <c r="B140" s="83"/>
      <c r="C140" s="83"/>
      <c r="D140" s="83">
        <f>SUM(D137:D139)</f>
        <v>3319600</v>
      </c>
      <c r="E140" s="100">
        <f>SUM(E137:E139)</f>
        <v>42.198</v>
      </c>
    </row>
    <row r="142" spans="1:5" x14ac:dyDescent="0.25">
      <c r="A142" s="279" t="s">
        <v>397</v>
      </c>
      <c r="B142" s="279"/>
      <c r="C142" s="279"/>
      <c r="D142" s="279"/>
      <c r="E142" s="279"/>
    </row>
    <row r="143" spans="1:5" x14ac:dyDescent="0.25">
      <c r="A143" s="71" t="s">
        <v>92</v>
      </c>
      <c r="B143" s="71" t="s">
        <v>93</v>
      </c>
      <c r="C143" s="71" t="s">
        <v>227</v>
      </c>
      <c r="D143" s="71" t="s">
        <v>228</v>
      </c>
      <c r="E143" s="73" t="s">
        <v>229</v>
      </c>
    </row>
    <row r="144" spans="1:5" x14ac:dyDescent="0.25">
      <c r="A144" s="77" t="s">
        <v>398</v>
      </c>
      <c r="B144" s="78">
        <f>INSUMOS!B70</f>
        <v>80000</v>
      </c>
      <c r="C144" s="95">
        <v>1</v>
      </c>
      <c r="D144" s="96">
        <f>C144*B144</f>
        <v>80000</v>
      </c>
      <c r="E144" s="97">
        <f>INSUMOS!E70</f>
        <v>3</v>
      </c>
    </row>
    <row r="145" spans="1:5" x14ac:dyDescent="0.25">
      <c r="A145" s="77" t="s">
        <v>399</v>
      </c>
      <c r="B145" s="78">
        <f>INSUMOS!B46</f>
        <v>440000.00000000006</v>
      </c>
      <c r="C145" s="95">
        <v>0.75</v>
      </c>
      <c r="D145" s="96">
        <f>C145*B145</f>
        <v>330000.00000000006</v>
      </c>
      <c r="E145" s="97">
        <f>3.3*INSUMOS!E46</f>
        <v>17.958505083541748</v>
      </c>
    </row>
    <row r="146" spans="1:5" x14ac:dyDescent="0.25">
      <c r="A146" s="77" t="s">
        <v>400</v>
      </c>
      <c r="B146" s="78">
        <f>INSUMOS!B276</f>
        <v>550000</v>
      </c>
      <c r="C146" s="98">
        <v>1</v>
      </c>
      <c r="D146" s="96">
        <f>C146*B146</f>
        <v>550000</v>
      </c>
      <c r="E146" s="99" t="s">
        <v>232</v>
      </c>
    </row>
    <row r="147" spans="1:5" x14ac:dyDescent="0.25">
      <c r="A147" s="82"/>
      <c r="B147" s="83"/>
      <c r="C147" s="82" t="s">
        <v>122</v>
      </c>
      <c r="D147" s="83">
        <f>SUM(D144:D146)</f>
        <v>960000</v>
      </c>
      <c r="E147" s="100">
        <f>SUM(E144:E146)</f>
        <v>20.958505083541748</v>
      </c>
    </row>
    <row r="149" spans="1:5" x14ac:dyDescent="0.25">
      <c r="A149" s="279" t="s">
        <v>401</v>
      </c>
      <c r="B149" s="279"/>
      <c r="C149" s="279"/>
      <c r="D149" s="279"/>
      <c r="E149" s="279"/>
    </row>
    <row r="150" spans="1:5" x14ac:dyDescent="0.25">
      <c r="A150" s="72" t="s">
        <v>92</v>
      </c>
      <c r="B150" s="72" t="s">
        <v>93</v>
      </c>
      <c r="C150" s="71" t="s">
        <v>227</v>
      </c>
      <c r="D150" s="71" t="s">
        <v>228</v>
      </c>
      <c r="E150" s="73" t="s">
        <v>229</v>
      </c>
    </row>
    <row r="151" spans="1:5" x14ac:dyDescent="0.25">
      <c r="A151" s="74" t="s">
        <v>402</v>
      </c>
      <c r="B151" s="75">
        <f>INSUMOS!B104</f>
        <v>83333.333333333328</v>
      </c>
      <c r="C151" s="103">
        <v>3</v>
      </c>
      <c r="D151" s="75">
        <f>C151*B151</f>
        <v>250000</v>
      </c>
      <c r="E151" s="102">
        <f>INSUMOS!E123</f>
        <v>53.835299999999989</v>
      </c>
    </row>
    <row r="152" spans="1:5" x14ac:dyDescent="0.25">
      <c r="A152" s="94" t="s">
        <v>403</v>
      </c>
      <c r="B152" s="78">
        <f>INSUMOS!B66</f>
        <v>597786.66666666663</v>
      </c>
      <c r="C152" s="104">
        <v>2</v>
      </c>
      <c r="D152" s="78">
        <f>C152*B152</f>
        <v>1195573.3333333333</v>
      </c>
      <c r="E152" s="97">
        <f>3*INSUMOS!E93</f>
        <v>45</v>
      </c>
    </row>
    <row r="153" spans="1:5" x14ac:dyDescent="0.25">
      <c r="A153" s="94" t="s">
        <v>404</v>
      </c>
      <c r="B153" s="78">
        <f>INSUMOS!B283</f>
        <v>7000000</v>
      </c>
      <c r="C153" s="104">
        <v>1</v>
      </c>
      <c r="D153" s="78">
        <f>C153*B153</f>
        <v>7000000</v>
      </c>
      <c r="E153" s="105" t="s">
        <v>232</v>
      </c>
    </row>
    <row r="154" spans="1:5" x14ac:dyDescent="0.25">
      <c r="A154" s="82"/>
      <c r="B154" s="83"/>
      <c r="C154" s="83" t="s">
        <v>122</v>
      </c>
      <c r="D154" s="83">
        <f>SUM(D151:D153)</f>
        <v>8445573.333333334</v>
      </c>
      <c r="E154" s="100">
        <f>SUM(E151:E153)</f>
        <v>98.835299999999989</v>
      </c>
    </row>
    <row r="156" spans="1:5" x14ac:dyDescent="0.25">
      <c r="A156" s="279" t="s">
        <v>405</v>
      </c>
      <c r="B156" s="279"/>
      <c r="C156" s="279"/>
      <c r="D156" s="279"/>
      <c r="E156" s="279"/>
    </row>
    <row r="157" spans="1:5" x14ac:dyDescent="0.25">
      <c r="A157" s="72" t="s">
        <v>92</v>
      </c>
      <c r="B157" s="72" t="s">
        <v>93</v>
      </c>
      <c r="C157" s="71" t="s">
        <v>227</v>
      </c>
      <c r="D157" s="71" t="s">
        <v>228</v>
      </c>
      <c r="E157" s="73" t="s">
        <v>229</v>
      </c>
    </row>
    <row r="158" spans="1:5" x14ac:dyDescent="0.25">
      <c r="A158" s="74" t="s">
        <v>345</v>
      </c>
      <c r="B158" s="75">
        <f>INSUMOS!B72</f>
        <v>98250</v>
      </c>
      <c r="C158" s="103">
        <v>1</v>
      </c>
      <c r="D158" s="75">
        <f>C158*B158</f>
        <v>98250</v>
      </c>
      <c r="E158" s="102">
        <f>INSUMOS!E72</f>
        <v>4.93</v>
      </c>
    </row>
    <row r="159" spans="1:5" x14ac:dyDescent="0.25">
      <c r="A159" s="94" t="s">
        <v>406</v>
      </c>
      <c r="B159" s="78">
        <f>INSUMOS!B48</f>
        <v>751564.00000000012</v>
      </c>
      <c r="C159" s="104">
        <v>1</v>
      </c>
      <c r="D159" s="78">
        <f>C159*B159</f>
        <v>751564.00000000012</v>
      </c>
      <c r="E159" s="97">
        <f>4.2*INSUMOS!E48</f>
        <v>47.460000000000008</v>
      </c>
    </row>
    <row r="160" spans="1:5" x14ac:dyDescent="0.25">
      <c r="A160" s="94" t="s">
        <v>347</v>
      </c>
      <c r="B160" s="78">
        <f>INSUMOS!B278</f>
        <v>1050000</v>
      </c>
      <c r="C160" s="104">
        <v>1</v>
      </c>
      <c r="D160" s="78">
        <f>C160*B160</f>
        <v>1050000</v>
      </c>
      <c r="E160" s="105" t="s">
        <v>232</v>
      </c>
    </row>
    <row r="161" spans="1:5" x14ac:dyDescent="0.25">
      <c r="A161" s="82"/>
      <c r="B161" s="83"/>
      <c r="C161" s="83"/>
      <c r="D161" s="83">
        <f>SUM(D158:D160)</f>
        <v>1899814</v>
      </c>
      <c r="E161" s="100">
        <f>SUM(E158:E160)</f>
        <v>52.390000000000008</v>
      </c>
    </row>
    <row r="163" spans="1:5" x14ac:dyDescent="0.25">
      <c r="A163" s="279" t="s">
        <v>70</v>
      </c>
      <c r="B163" s="279"/>
      <c r="C163" s="279"/>
      <c r="D163" s="279"/>
      <c r="E163" s="279"/>
    </row>
    <row r="164" spans="1:5" x14ac:dyDescent="0.25">
      <c r="A164" s="72" t="s">
        <v>92</v>
      </c>
      <c r="B164" s="72" t="s">
        <v>93</v>
      </c>
      <c r="C164" s="71" t="s">
        <v>227</v>
      </c>
      <c r="D164" s="71" t="s">
        <v>228</v>
      </c>
      <c r="E164" s="73" t="s">
        <v>229</v>
      </c>
    </row>
    <row r="165" spans="1:5" x14ac:dyDescent="0.25">
      <c r="A165" s="74" t="s">
        <v>367</v>
      </c>
      <c r="B165" s="75">
        <f>INSUMOS!B91</f>
        <v>325600</v>
      </c>
      <c r="C165" s="103">
        <v>1</v>
      </c>
      <c r="D165" s="75">
        <f>C165*B165</f>
        <v>325600</v>
      </c>
      <c r="E165" s="102">
        <f>INSUMOS!E91</f>
        <v>6.8</v>
      </c>
    </row>
    <row r="166" spans="1:5" x14ac:dyDescent="0.25">
      <c r="A166" s="94" t="s">
        <v>407</v>
      </c>
      <c r="B166" s="78">
        <f>INSUMOS!B60</f>
        <v>1752000</v>
      </c>
      <c r="C166" s="104">
        <v>0.75</v>
      </c>
      <c r="D166" s="78">
        <f>C166*B166</f>
        <v>1314000</v>
      </c>
      <c r="E166" s="97">
        <f>3.6*INSUMOS!E60</f>
        <v>57.923999999999999</v>
      </c>
    </row>
    <row r="167" spans="1:5" x14ac:dyDescent="0.25">
      <c r="A167" s="94" t="s">
        <v>351</v>
      </c>
      <c r="B167" s="78">
        <f>INSUMOS!B279</f>
        <v>1680000</v>
      </c>
      <c r="C167" s="104">
        <v>1</v>
      </c>
      <c r="D167" s="78">
        <f>C167*B167</f>
        <v>1680000</v>
      </c>
      <c r="E167" s="105"/>
    </row>
    <row r="168" spans="1:5" x14ac:dyDescent="0.25">
      <c r="A168" s="82"/>
      <c r="B168" s="83"/>
      <c r="C168" s="83"/>
      <c r="D168" s="83">
        <f>SUM(D165:D167)</f>
        <v>3319600</v>
      </c>
      <c r="E168" s="100">
        <f>SUM(E165:E167)</f>
        <v>64.724000000000004</v>
      </c>
    </row>
    <row r="170" spans="1:5" x14ac:dyDescent="0.25">
      <c r="A170" s="279" t="s">
        <v>408</v>
      </c>
      <c r="B170" s="279"/>
      <c r="C170" s="279"/>
      <c r="D170" s="279"/>
      <c r="E170" s="279"/>
    </row>
    <row r="171" spans="1:5" x14ac:dyDescent="0.25">
      <c r="A171" s="72" t="s">
        <v>92</v>
      </c>
      <c r="B171" s="72" t="s">
        <v>93</v>
      </c>
      <c r="C171" s="71" t="s">
        <v>227</v>
      </c>
      <c r="D171" s="71" t="s">
        <v>228</v>
      </c>
      <c r="E171" s="73" t="s">
        <v>229</v>
      </c>
    </row>
    <row r="172" spans="1:5" x14ac:dyDescent="0.25">
      <c r="A172" s="74" t="s">
        <v>409</v>
      </c>
      <c r="B172" s="75">
        <f>INSUMOS!B90</f>
        <v>209000.00000000003</v>
      </c>
      <c r="C172" s="103">
        <v>1</v>
      </c>
      <c r="D172" s="75">
        <f>C172*B172</f>
        <v>209000.00000000003</v>
      </c>
      <c r="E172" s="102">
        <f>INSUMOS!E90</f>
        <v>4.93</v>
      </c>
    </row>
    <row r="173" spans="1:5" x14ac:dyDescent="0.25">
      <c r="A173" s="94" t="s">
        <v>410</v>
      </c>
      <c r="B173" s="78">
        <f>INSUMOS!B59</f>
        <v>1320000</v>
      </c>
      <c r="C173" s="104">
        <v>0.8</v>
      </c>
      <c r="D173" s="78">
        <f>C173*B173</f>
        <v>1056000</v>
      </c>
      <c r="E173" s="97">
        <f>0.8*INSUMOS!E60</f>
        <v>12.872</v>
      </c>
    </row>
    <row r="174" spans="1:5" x14ac:dyDescent="0.25">
      <c r="A174" s="94" t="s">
        <v>347</v>
      </c>
      <c r="B174" s="78">
        <f>INSUMOS!B278</f>
        <v>1050000</v>
      </c>
      <c r="C174" s="104">
        <v>1</v>
      </c>
      <c r="D174" s="78">
        <f>C174*B174</f>
        <v>1050000</v>
      </c>
      <c r="E174" s="105" t="s">
        <v>232</v>
      </c>
    </row>
    <row r="175" spans="1:5" x14ac:dyDescent="0.25">
      <c r="A175" s="82"/>
      <c r="B175" s="83"/>
      <c r="C175" s="83"/>
      <c r="D175" s="83">
        <f>SUM(D172:D174)</f>
        <v>2315000</v>
      </c>
      <c r="E175" s="100">
        <f>SUM(E172:E174)</f>
        <v>17.802</v>
      </c>
    </row>
    <row r="177" spans="1:5" x14ac:dyDescent="0.25">
      <c r="A177" s="279" t="s">
        <v>411</v>
      </c>
      <c r="B177" s="279"/>
      <c r="C177" s="279"/>
      <c r="D177" s="279"/>
      <c r="E177" s="279"/>
    </row>
    <row r="178" spans="1:5" x14ac:dyDescent="0.25">
      <c r="A178" s="71" t="s">
        <v>92</v>
      </c>
      <c r="B178" s="71" t="s">
        <v>93</v>
      </c>
      <c r="C178" s="71" t="s">
        <v>227</v>
      </c>
      <c r="D178" s="71" t="s">
        <v>228</v>
      </c>
      <c r="E178" s="73" t="s">
        <v>229</v>
      </c>
    </row>
    <row r="179" spans="1:5" x14ac:dyDescent="0.25">
      <c r="A179" s="74" t="s">
        <v>361</v>
      </c>
      <c r="B179" s="75">
        <f>INSUMOS!B71</f>
        <v>80000</v>
      </c>
      <c r="C179" s="103">
        <v>1</v>
      </c>
      <c r="D179" s="75">
        <f>C179*B179</f>
        <v>80000</v>
      </c>
      <c r="E179" s="102">
        <f>INSUMOS!E71</f>
        <v>3</v>
      </c>
    </row>
    <row r="180" spans="1:5" x14ac:dyDescent="0.25">
      <c r="A180" s="94" t="s">
        <v>412</v>
      </c>
      <c r="B180" s="78">
        <f>INSUMOS!B47</f>
        <v>638000</v>
      </c>
      <c r="C180" s="104">
        <v>1</v>
      </c>
      <c r="D180" s="78">
        <f>C180*B180</f>
        <v>638000</v>
      </c>
      <c r="E180" s="97">
        <f>5.5*INSUMOS!E47</f>
        <v>47.465000000000003</v>
      </c>
    </row>
    <row r="181" spans="1:5" x14ac:dyDescent="0.25">
      <c r="A181" s="94" t="s">
        <v>363</v>
      </c>
      <c r="B181" s="78">
        <f>INSUMOS!B277</f>
        <v>600000</v>
      </c>
      <c r="C181" s="104">
        <v>1</v>
      </c>
      <c r="D181" s="78">
        <f>C181*B181</f>
        <v>600000</v>
      </c>
      <c r="E181" s="105"/>
    </row>
    <row r="182" spans="1:5" x14ac:dyDescent="0.25">
      <c r="A182" s="82"/>
      <c r="B182" s="83"/>
      <c r="C182" s="83"/>
      <c r="D182" s="83">
        <f>SUM(D179:D181)</f>
        <v>1318000</v>
      </c>
      <c r="E182" s="100">
        <f>SUM(E179:E181)</f>
        <v>50.465000000000003</v>
      </c>
    </row>
    <row r="184" spans="1:5" x14ac:dyDescent="0.25">
      <c r="A184" s="279" t="s">
        <v>413</v>
      </c>
      <c r="B184" s="279"/>
      <c r="C184" s="279"/>
      <c r="D184" s="279"/>
      <c r="E184" s="279"/>
    </row>
    <row r="185" spans="1:5" x14ac:dyDescent="0.25">
      <c r="A185" s="72" t="s">
        <v>92</v>
      </c>
      <c r="B185" s="72" t="s">
        <v>93</v>
      </c>
      <c r="C185" s="71" t="s">
        <v>227</v>
      </c>
      <c r="D185" s="71" t="s">
        <v>228</v>
      </c>
      <c r="E185" s="73" t="s">
        <v>229</v>
      </c>
    </row>
    <row r="186" spans="1:5" x14ac:dyDescent="0.25">
      <c r="A186" s="74" t="s">
        <v>345</v>
      </c>
      <c r="B186" s="75">
        <f>INSUMOS!B72</f>
        <v>98250</v>
      </c>
      <c r="C186" s="103">
        <v>1</v>
      </c>
      <c r="D186" s="75">
        <f>C186*B186</f>
        <v>98250</v>
      </c>
      <c r="E186" s="102">
        <f>INSUMOS!E72</f>
        <v>4.93</v>
      </c>
    </row>
    <row r="187" spans="1:5" x14ac:dyDescent="0.25">
      <c r="A187" s="94" t="s">
        <v>414</v>
      </c>
      <c r="B187" s="78">
        <f>INSUMOS!B48</f>
        <v>751564.00000000012</v>
      </c>
      <c r="C187" s="104">
        <v>0.8</v>
      </c>
      <c r="D187" s="78">
        <f>C187*B187</f>
        <v>601251.20000000007</v>
      </c>
      <c r="E187" s="97">
        <f>INSUMOS!E48*3.5</f>
        <v>39.550000000000004</v>
      </c>
    </row>
    <row r="188" spans="1:5" x14ac:dyDescent="0.25">
      <c r="A188" s="94" t="s">
        <v>347</v>
      </c>
      <c r="B188" s="78">
        <f>INSUMOS!B278</f>
        <v>1050000</v>
      </c>
      <c r="C188" s="104">
        <v>1</v>
      </c>
      <c r="D188" s="78">
        <f>C188*B188</f>
        <v>1050000</v>
      </c>
      <c r="E188" s="105" t="s">
        <v>232</v>
      </c>
    </row>
    <row r="189" spans="1:5" x14ac:dyDescent="0.25">
      <c r="A189" s="82"/>
      <c r="B189" s="83"/>
      <c r="C189" s="83" t="s">
        <v>122</v>
      </c>
      <c r="D189" s="83">
        <f>SUM(D186:D188)</f>
        <v>1749501.2000000002</v>
      </c>
      <c r="E189" s="100">
        <f>SUM(E186:E188)</f>
        <v>44.480000000000004</v>
      </c>
    </row>
    <row r="191" spans="1:5" x14ac:dyDescent="0.25">
      <c r="A191" s="279" t="s">
        <v>415</v>
      </c>
      <c r="B191" s="279"/>
      <c r="C191" s="279"/>
      <c r="D191" s="279"/>
      <c r="E191" s="279"/>
    </row>
    <row r="192" spans="1:5" x14ac:dyDescent="0.25">
      <c r="A192" s="72" t="s">
        <v>92</v>
      </c>
      <c r="B192" s="72" t="s">
        <v>93</v>
      </c>
      <c r="C192" s="71" t="s">
        <v>227</v>
      </c>
      <c r="D192" s="71" t="s">
        <v>228</v>
      </c>
      <c r="E192" s="73" t="s">
        <v>229</v>
      </c>
    </row>
    <row r="193" spans="1:5" x14ac:dyDescent="0.25">
      <c r="A193" s="74" t="s">
        <v>349</v>
      </c>
      <c r="B193" s="75">
        <f>INSUMOS!B73</f>
        <v>148500</v>
      </c>
      <c r="C193" s="103">
        <v>1</v>
      </c>
      <c r="D193" s="75">
        <f>C193*B193</f>
        <v>148500</v>
      </c>
      <c r="E193" s="102">
        <f>INSUMOS!E73</f>
        <v>7</v>
      </c>
    </row>
    <row r="194" spans="1:5" x14ac:dyDescent="0.25">
      <c r="A194" s="94" t="s">
        <v>365</v>
      </c>
      <c r="B194" s="78">
        <f>INSUMOS!B49</f>
        <v>1052700</v>
      </c>
      <c r="C194" s="104">
        <v>1</v>
      </c>
      <c r="D194" s="78">
        <f>C194*B194</f>
        <v>1052700</v>
      </c>
      <c r="E194" s="97">
        <f>5.8*INSUMOS!E49</f>
        <v>93.322000000000003</v>
      </c>
    </row>
    <row r="195" spans="1:5" x14ac:dyDescent="0.25">
      <c r="A195" s="94" t="s">
        <v>351</v>
      </c>
      <c r="B195" s="78">
        <f>INSUMOS!B279</f>
        <v>1680000</v>
      </c>
      <c r="C195" s="104">
        <v>1</v>
      </c>
      <c r="D195" s="78">
        <f>C195*B195</f>
        <v>1680000</v>
      </c>
      <c r="E195" s="105" t="s">
        <v>232</v>
      </c>
    </row>
    <row r="196" spans="1:5" x14ac:dyDescent="0.25">
      <c r="A196" s="82"/>
      <c r="B196" s="83"/>
      <c r="C196" s="83"/>
      <c r="D196" s="83">
        <f>SUM(D193:D195)</f>
        <v>2881200</v>
      </c>
      <c r="E196" s="100">
        <f>SUM(E193:E195)</f>
        <v>100.322</v>
      </c>
    </row>
    <row r="198" spans="1:5" x14ac:dyDescent="0.25">
      <c r="A198" s="279" t="s">
        <v>416</v>
      </c>
      <c r="B198" s="279"/>
      <c r="C198" s="279"/>
      <c r="D198" s="279"/>
      <c r="E198" s="279"/>
    </row>
    <row r="199" spans="1:5" x14ac:dyDescent="0.25">
      <c r="A199" s="72" t="s">
        <v>92</v>
      </c>
      <c r="B199" s="72" t="s">
        <v>93</v>
      </c>
      <c r="C199" s="71" t="s">
        <v>227</v>
      </c>
      <c r="D199" s="71" t="s">
        <v>228</v>
      </c>
      <c r="E199" s="73" t="s">
        <v>229</v>
      </c>
    </row>
    <row r="200" spans="1:5" x14ac:dyDescent="0.25">
      <c r="A200" s="74" t="s">
        <v>349</v>
      </c>
      <c r="B200" s="75">
        <f>INSUMOS!B73</f>
        <v>148500</v>
      </c>
      <c r="C200" s="103">
        <v>1</v>
      </c>
      <c r="D200" s="75">
        <f>C200*B200</f>
        <v>148500</v>
      </c>
      <c r="E200" s="102">
        <f>INSUMOS!E73</f>
        <v>7</v>
      </c>
    </row>
    <row r="201" spans="1:5" x14ac:dyDescent="0.25">
      <c r="A201" s="94" t="s">
        <v>417</v>
      </c>
      <c r="B201" s="78">
        <f>INSUMOS!B49</f>
        <v>1052700</v>
      </c>
      <c r="C201" s="104">
        <v>0.8</v>
      </c>
      <c r="D201" s="78">
        <f>C201*B201</f>
        <v>842160</v>
      </c>
      <c r="E201" s="97">
        <f>3.5*INSUMOS!E49</f>
        <v>56.314999999999998</v>
      </c>
    </row>
    <row r="202" spans="1:5" x14ac:dyDescent="0.25">
      <c r="A202" s="94" t="s">
        <v>351</v>
      </c>
      <c r="B202" s="78">
        <f>INSUMOS!B279</f>
        <v>1680000</v>
      </c>
      <c r="C202" s="104">
        <v>1</v>
      </c>
      <c r="D202" s="78">
        <f>C202*B202</f>
        <v>1680000</v>
      </c>
      <c r="E202" s="105" t="s">
        <v>232</v>
      </c>
    </row>
    <row r="203" spans="1:5" x14ac:dyDescent="0.25">
      <c r="A203" s="82"/>
      <c r="B203" s="83"/>
      <c r="C203" s="83"/>
      <c r="D203" s="83">
        <f>SUM(D200:D202)</f>
        <v>2670660</v>
      </c>
      <c r="E203" s="100">
        <f>SUM(E200:E202)</f>
        <v>63.314999999999998</v>
      </c>
    </row>
    <row r="205" spans="1:5" x14ac:dyDescent="0.25">
      <c r="A205" s="279" t="s">
        <v>418</v>
      </c>
      <c r="B205" s="279"/>
      <c r="C205" s="279"/>
      <c r="D205" s="279"/>
      <c r="E205" s="279"/>
    </row>
    <row r="206" spans="1:5" x14ac:dyDescent="0.25">
      <c r="A206" s="72" t="s">
        <v>92</v>
      </c>
      <c r="B206" s="72" t="s">
        <v>93</v>
      </c>
      <c r="C206" s="71" t="s">
        <v>227</v>
      </c>
      <c r="D206" s="71" t="s">
        <v>228</v>
      </c>
      <c r="E206" s="73" t="s">
        <v>229</v>
      </c>
    </row>
    <row r="207" spans="1:5" x14ac:dyDescent="0.25">
      <c r="A207" s="74" t="s">
        <v>379</v>
      </c>
      <c r="B207" s="75">
        <f>INSUMOS!B74</f>
        <v>212000</v>
      </c>
      <c r="C207" s="103">
        <v>1</v>
      </c>
      <c r="D207" s="75">
        <f>C207*B207</f>
        <v>212000</v>
      </c>
      <c r="E207" s="102">
        <f>INSUMOS!E74</f>
        <v>11.3</v>
      </c>
    </row>
    <row r="208" spans="1:5" x14ac:dyDescent="0.25">
      <c r="A208" s="94" t="s">
        <v>419</v>
      </c>
      <c r="B208" s="78">
        <f>INSUMOS!B51</f>
        <v>2978800.0000000005</v>
      </c>
      <c r="C208" s="104">
        <v>0.8</v>
      </c>
      <c r="D208" s="78">
        <f>C208*B208</f>
        <v>2383040.0000000005</v>
      </c>
      <c r="E208" s="97">
        <f>3.5*INSUMOS!E51</f>
        <v>98.7</v>
      </c>
    </row>
    <row r="209" spans="1:5" x14ac:dyDescent="0.25">
      <c r="A209" s="94" t="s">
        <v>357</v>
      </c>
      <c r="B209" s="78">
        <f>INSUMOS!B281</f>
        <v>2300000</v>
      </c>
      <c r="C209" s="104">
        <v>1</v>
      </c>
      <c r="D209" s="78">
        <f>C209*B209</f>
        <v>2300000</v>
      </c>
      <c r="E209" s="105" t="s">
        <v>232</v>
      </c>
    </row>
    <row r="210" spans="1:5" x14ac:dyDescent="0.25">
      <c r="A210" s="82"/>
      <c r="B210" s="83"/>
      <c r="C210" s="83" t="s">
        <v>122</v>
      </c>
      <c r="D210" s="83">
        <f>SUM(D207:D209)</f>
        <v>4895040</v>
      </c>
      <c r="E210" s="100">
        <f>SUM(E207:E209)</f>
        <v>110</v>
      </c>
    </row>
    <row r="212" spans="1:5" x14ac:dyDescent="0.25">
      <c r="A212" s="279" t="s">
        <v>420</v>
      </c>
      <c r="B212" s="279"/>
      <c r="C212" s="279"/>
      <c r="D212" s="279"/>
      <c r="E212" s="279"/>
    </row>
    <row r="213" spans="1:5" x14ac:dyDescent="0.25">
      <c r="A213" s="72" t="s">
        <v>92</v>
      </c>
      <c r="B213" s="72" t="s">
        <v>93</v>
      </c>
      <c r="C213" s="71" t="s">
        <v>227</v>
      </c>
      <c r="D213" s="71" t="s">
        <v>228</v>
      </c>
      <c r="E213" s="73" t="s">
        <v>229</v>
      </c>
    </row>
    <row r="214" spans="1:5" x14ac:dyDescent="0.25">
      <c r="A214" s="74" t="s">
        <v>421</v>
      </c>
      <c r="B214" s="75">
        <f>INSUMOS!B70</f>
        <v>80000</v>
      </c>
      <c r="C214" s="103">
        <v>1</v>
      </c>
      <c r="D214" s="75">
        <f>C214*B214</f>
        <v>80000</v>
      </c>
      <c r="E214" s="102">
        <f>INSUMOS!E70</f>
        <v>3</v>
      </c>
    </row>
    <row r="215" spans="1:5" x14ac:dyDescent="0.25">
      <c r="A215" s="94" t="s">
        <v>422</v>
      </c>
      <c r="B215" s="78">
        <f>INSUMOS!B46</f>
        <v>440000.00000000006</v>
      </c>
      <c r="C215" s="104">
        <v>0.5</v>
      </c>
      <c r="D215" s="78">
        <f>C215*B215</f>
        <v>220000.00000000003</v>
      </c>
      <c r="E215" s="97">
        <f>1.7*INSUMOS!E46</f>
        <v>9.251351103642719</v>
      </c>
    </row>
    <row r="216" spans="1:5" x14ac:dyDescent="0.25">
      <c r="A216" s="94" t="s">
        <v>423</v>
      </c>
      <c r="B216" s="78">
        <f>INSUMOS!B276</f>
        <v>550000</v>
      </c>
      <c r="C216" s="104">
        <v>1</v>
      </c>
      <c r="D216" s="78">
        <f>C216*B216</f>
        <v>550000</v>
      </c>
      <c r="E216" s="105" t="s">
        <v>232</v>
      </c>
    </row>
    <row r="217" spans="1:5" x14ac:dyDescent="0.25">
      <c r="A217" s="82"/>
      <c r="B217" s="83"/>
      <c r="C217" s="83" t="s">
        <v>122</v>
      </c>
      <c r="D217" s="83">
        <f>SUM(D214:D216)</f>
        <v>850000</v>
      </c>
      <c r="E217" s="100">
        <f>SUM(E214:E216)</f>
        <v>12.251351103642719</v>
      </c>
    </row>
    <row r="219" spans="1:5" x14ac:dyDescent="0.25">
      <c r="A219" s="279" t="s">
        <v>424</v>
      </c>
      <c r="B219" s="279"/>
      <c r="C219" s="279"/>
      <c r="D219" s="279"/>
      <c r="E219" s="279"/>
    </row>
    <row r="220" spans="1:5" x14ac:dyDescent="0.25">
      <c r="A220" s="71" t="s">
        <v>92</v>
      </c>
      <c r="B220" s="71" t="s">
        <v>93</v>
      </c>
      <c r="C220" s="71" t="s">
        <v>227</v>
      </c>
      <c r="D220" s="71" t="s">
        <v>228</v>
      </c>
      <c r="E220" s="73" t="s">
        <v>229</v>
      </c>
    </row>
    <row r="221" spans="1:5" x14ac:dyDescent="0.25">
      <c r="A221" s="74" t="s">
        <v>425</v>
      </c>
      <c r="B221" s="75">
        <f>INSUMOS!B89</f>
        <v>130000</v>
      </c>
      <c r="C221" s="103">
        <v>1</v>
      </c>
      <c r="D221" s="75">
        <f>C221*B221</f>
        <v>130000</v>
      </c>
      <c r="E221" s="102">
        <f>INSUMOS!E89</f>
        <v>3.28</v>
      </c>
    </row>
    <row r="222" spans="1:5" x14ac:dyDescent="0.25">
      <c r="A222" s="94" t="s">
        <v>426</v>
      </c>
      <c r="B222" s="78">
        <f>INSUMOS!B58</f>
        <v>1276000</v>
      </c>
      <c r="C222" s="104">
        <v>0.75</v>
      </c>
      <c r="D222" s="78">
        <f>C222*B222</f>
        <v>957000</v>
      </c>
      <c r="E222" s="97">
        <f>3.5*INSUMOS!E58</f>
        <v>30.099999999999998</v>
      </c>
    </row>
    <row r="223" spans="1:5" x14ac:dyDescent="0.25">
      <c r="A223" s="94" t="s">
        <v>363</v>
      </c>
      <c r="B223" s="78">
        <f>INSUMOS!B277</f>
        <v>600000</v>
      </c>
      <c r="C223" s="104">
        <v>1</v>
      </c>
      <c r="D223" s="78">
        <f>C223*B223</f>
        <v>600000</v>
      </c>
      <c r="E223" s="105"/>
    </row>
    <row r="224" spans="1:5" x14ac:dyDescent="0.25">
      <c r="A224" s="82"/>
      <c r="B224" s="83"/>
      <c r="C224" s="83"/>
      <c r="D224" s="83">
        <f>SUM(D221:D223)</f>
        <v>1687000</v>
      </c>
      <c r="E224" s="100">
        <f>SUM(E221:E223)</f>
        <v>33.379999999999995</v>
      </c>
    </row>
    <row r="226" spans="1:5" x14ac:dyDescent="0.25">
      <c r="A226" s="279" t="s">
        <v>427</v>
      </c>
      <c r="B226" s="279"/>
      <c r="C226" s="279"/>
      <c r="D226" s="279"/>
      <c r="E226" s="279"/>
    </row>
    <row r="227" spans="1:5" x14ac:dyDescent="0.25">
      <c r="A227" s="72" t="s">
        <v>92</v>
      </c>
      <c r="B227" s="72" t="s">
        <v>93</v>
      </c>
      <c r="C227" s="71" t="s">
        <v>227</v>
      </c>
      <c r="D227" s="71" t="s">
        <v>228</v>
      </c>
      <c r="E227" s="73" t="s">
        <v>229</v>
      </c>
    </row>
    <row r="228" spans="1:5" x14ac:dyDescent="0.25">
      <c r="A228" s="74" t="s">
        <v>391</v>
      </c>
      <c r="B228" s="75">
        <f>INSUMOS!B75</f>
        <v>310000</v>
      </c>
      <c r="C228" s="103">
        <v>1</v>
      </c>
      <c r="D228" s="75">
        <f>C228*B228</f>
        <v>310000</v>
      </c>
      <c r="E228" s="102">
        <f>INSUMOS!E75</f>
        <v>19.600000000000001</v>
      </c>
    </row>
    <row r="229" spans="1:5" x14ac:dyDescent="0.25">
      <c r="A229" s="94" t="s">
        <v>428</v>
      </c>
      <c r="B229" s="78">
        <f>INSUMOS!B52</f>
        <v>4669500</v>
      </c>
      <c r="C229" s="104">
        <v>1</v>
      </c>
      <c r="D229" s="78">
        <f>C229*B229</f>
        <v>4669500</v>
      </c>
      <c r="E229" s="97">
        <f>5.8*INSUMOS!E52</f>
        <v>247.08</v>
      </c>
    </row>
    <row r="230" spans="1:5" x14ac:dyDescent="0.25">
      <c r="A230" s="94" t="s">
        <v>372</v>
      </c>
      <c r="B230" s="78">
        <f>INSUMOS!B282</f>
        <v>3500000</v>
      </c>
      <c r="C230" s="104">
        <v>1</v>
      </c>
      <c r="D230" s="78">
        <f>C230*B230</f>
        <v>3500000</v>
      </c>
      <c r="E230" s="105" t="s">
        <v>232</v>
      </c>
    </row>
    <row r="231" spans="1:5" x14ac:dyDescent="0.25">
      <c r="A231" s="82"/>
      <c r="B231" s="83"/>
      <c r="C231" s="83" t="s">
        <v>122</v>
      </c>
      <c r="D231" s="83">
        <f>SUM(D228:D230)</f>
        <v>8479500</v>
      </c>
      <c r="E231" s="100">
        <f>SUM(E228:E230)</f>
        <v>266.68</v>
      </c>
    </row>
    <row r="233" spans="1:5" x14ac:dyDescent="0.25">
      <c r="A233" s="279" t="s">
        <v>429</v>
      </c>
      <c r="B233" s="279"/>
      <c r="C233" s="279"/>
      <c r="D233" s="279"/>
      <c r="E233" s="279"/>
    </row>
    <row r="234" spans="1:5" x14ac:dyDescent="0.25">
      <c r="A234" s="72" t="s">
        <v>92</v>
      </c>
      <c r="B234" s="72" t="s">
        <v>93</v>
      </c>
      <c r="C234" s="71" t="s">
        <v>227</v>
      </c>
      <c r="D234" s="71" t="s">
        <v>228</v>
      </c>
      <c r="E234" s="73" t="s">
        <v>229</v>
      </c>
    </row>
    <row r="235" spans="1:5" x14ac:dyDescent="0.25">
      <c r="A235" s="74" t="s">
        <v>367</v>
      </c>
      <c r="B235" s="75">
        <f>INSUMOS!B91</f>
        <v>325600</v>
      </c>
      <c r="C235" s="103">
        <v>1</v>
      </c>
      <c r="D235" s="75">
        <f>C235*B235</f>
        <v>325600</v>
      </c>
      <c r="E235" s="102">
        <f>INSUMOS!E91</f>
        <v>6.8</v>
      </c>
    </row>
    <row r="236" spans="1:5" x14ac:dyDescent="0.25">
      <c r="A236" s="94" t="s">
        <v>430</v>
      </c>
      <c r="B236" s="78">
        <f>INSUMOS!B60</f>
        <v>1752000</v>
      </c>
      <c r="C236" s="104">
        <v>1</v>
      </c>
      <c r="D236" s="78">
        <f>C236*B236</f>
        <v>1752000</v>
      </c>
      <c r="E236" s="97">
        <f>5.8*INSUMOS!E60</f>
        <v>93.322000000000003</v>
      </c>
    </row>
    <row r="237" spans="1:5" x14ac:dyDescent="0.25">
      <c r="A237" s="94" t="s">
        <v>351</v>
      </c>
      <c r="B237" s="78">
        <f>INSUMOS!B279</f>
        <v>1680000</v>
      </c>
      <c r="C237" s="104">
        <v>1</v>
      </c>
      <c r="D237" s="78">
        <f>C237*B237</f>
        <v>1680000</v>
      </c>
      <c r="E237" s="105"/>
    </row>
    <row r="238" spans="1:5" x14ac:dyDescent="0.25">
      <c r="A238" s="82"/>
      <c r="B238" s="83"/>
      <c r="C238" s="83"/>
      <c r="D238" s="83">
        <f>SUM(D235:D237)</f>
        <v>3757600</v>
      </c>
      <c r="E238" s="100">
        <f>SUM(E235:E237)</f>
        <v>100.122</v>
      </c>
    </row>
    <row r="240" spans="1:5" x14ac:dyDescent="0.25">
      <c r="A240" s="279" t="s">
        <v>431</v>
      </c>
      <c r="B240" s="279"/>
      <c r="C240" s="279"/>
      <c r="D240" s="279"/>
      <c r="E240" s="279"/>
    </row>
    <row r="241" spans="1:5" x14ac:dyDescent="0.25">
      <c r="A241" s="72"/>
      <c r="B241" s="72" t="s">
        <v>93</v>
      </c>
      <c r="C241" s="71" t="s">
        <v>227</v>
      </c>
      <c r="D241" s="71" t="s">
        <v>228</v>
      </c>
      <c r="E241" s="73" t="s">
        <v>229</v>
      </c>
    </row>
    <row r="242" spans="1:5" x14ac:dyDescent="0.25">
      <c r="A242" s="74" t="s">
        <v>376</v>
      </c>
      <c r="B242" s="75">
        <f>INSUMOS!B92</f>
        <v>330000</v>
      </c>
      <c r="C242" s="103">
        <v>1</v>
      </c>
      <c r="D242" s="75">
        <f>C242*B242</f>
        <v>330000</v>
      </c>
      <c r="E242" s="102">
        <f>INSUMOS!E92</f>
        <v>11.3</v>
      </c>
    </row>
    <row r="243" spans="1:5" x14ac:dyDescent="0.25">
      <c r="A243" s="77" t="s">
        <v>432</v>
      </c>
      <c r="B243" s="78">
        <f>INSUMOS!B61</f>
        <v>3600000</v>
      </c>
      <c r="C243" s="104">
        <v>1</v>
      </c>
      <c r="D243" s="78">
        <f>C243*B243</f>
        <v>3600000</v>
      </c>
      <c r="E243" s="97">
        <f>INSUMOS!E61</f>
        <v>28.2</v>
      </c>
    </row>
    <row r="244" spans="1:5" x14ac:dyDescent="0.25">
      <c r="A244" s="77" t="s">
        <v>357</v>
      </c>
      <c r="B244" s="78">
        <f>INSUMOS!B281</f>
        <v>2300000</v>
      </c>
      <c r="C244" s="104">
        <v>1</v>
      </c>
      <c r="D244" s="78">
        <f>C244*B244</f>
        <v>2300000</v>
      </c>
      <c r="E244" s="105" t="s">
        <v>232</v>
      </c>
    </row>
    <row r="245" spans="1:5" x14ac:dyDescent="0.25">
      <c r="A245" s="82"/>
      <c r="B245" s="83"/>
      <c r="C245" s="83"/>
      <c r="D245" s="83">
        <f>SUM(D242:D244)</f>
        <v>6230000</v>
      </c>
      <c r="E245" s="100">
        <f>SUM(E242:E244)</f>
        <v>39.5</v>
      </c>
    </row>
    <row r="247" spans="1:5" x14ac:dyDescent="0.25">
      <c r="A247" s="279" t="s">
        <v>433</v>
      </c>
      <c r="B247" s="279"/>
      <c r="C247" s="279"/>
      <c r="D247" s="279"/>
      <c r="E247" s="279"/>
    </row>
    <row r="248" spans="1:5" x14ac:dyDescent="0.25">
      <c r="A248" s="71" t="s">
        <v>92</v>
      </c>
      <c r="B248" s="71" t="s">
        <v>93</v>
      </c>
      <c r="C248" s="71" t="s">
        <v>227</v>
      </c>
      <c r="D248" s="71" t="s">
        <v>228</v>
      </c>
      <c r="E248" s="73" t="s">
        <v>229</v>
      </c>
    </row>
    <row r="249" spans="1:5" x14ac:dyDescent="0.25">
      <c r="A249" s="74" t="s">
        <v>361</v>
      </c>
      <c r="B249" s="75">
        <f>INSUMOS!B71</f>
        <v>80000</v>
      </c>
      <c r="C249" s="103">
        <v>1</v>
      </c>
      <c r="D249" s="75">
        <f>C249*B249</f>
        <v>80000</v>
      </c>
      <c r="E249" s="102">
        <f>INSUMOS!E71</f>
        <v>3</v>
      </c>
    </row>
    <row r="250" spans="1:5" x14ac:dyDescent="0.25">
      <c r="A250" s="77" t="s">
        <v>434</v>
      </c>
      <c r="B250" s="78">
        <f>INSUMOS!B47</f>
        <v>638000</v>
      </c>
      <c r="C250" s="104">
        <v>0.75</v>
      </c>
      <c r="D250" s="78">
        <f>C250*B250</f>
        <v>478500</v>
      </c>
      <c r="E250" s="97">
        <f>3.5*INSUMOS!E47</f>
        <v>30.205000000000002</v>
      </c>
    </row>
    <row r="251" spans="1:5" x14ac:dyDescent="0.25">
      <c r="A251" s="77" t="s">
        <v>363</v>
      </c>
      <c r="B251" s="78">
        <f>INSUMOS!B277</f>
        <v>600000</v>
      </c>
      <c r="C251" s="104">
        <v>1</v>
      </c>
      <c r="D251" s="78">
        <f>C251*B251</f>
        <v>600000</v>
      </c>
      <c r="E251" s="105"/>
    </row>
    <row r="252" spans="1:5" x14ac:dyDescent="0.25">
      <c r="A252" s="82"/>
      <c r="B252" s="83"/>
      <c r="C252" s="83"/>
      <c r="D252" s="83">
        <f>SUM(D249:D251)</f>
        <v>1158500</v>
      </c>
      <c r="E252" s="100">
        <f>SUM(E249:E251)</f>
        <v>33.204999999999998</v>
      </c>
    </row>
    <row r="254" spans="1:5" x14ac:dyDescent="0.25">
      <c r="A254" s="279" t="s">
        <v>435</v>
      </c>
      <c r="B254" s="279"/>
      <c r="C254" s="279"/>
      <c r="D254" s="279"/>
      <c r="E254" s="279"/>
    </row>
    <row r="255" spans="1:5" x14ac:dyDescent="0.25">
      <c r="A255" s="71" t="s">
        <v>92</v>
      </c>
      <c r="B255" s="71" t="s">
        <v>93</v>
      </c>
      <c r="C255" s="71" t="s">
        <v>227</v>
      </c>
      <c r="D255" s="71" t="s">
        <v>228</v>
      </c>
      <c r="E255" s="73" t="s">
        <v>229</v>
      </c>
    </row>
    <row r="256" spans="1:5" x14ac:dyDescent="0.25">
      <c r="A256" s="74" t="s">
        <v>361</v>
      </c>
      <c r="B256" s="75">
        <f>INSUMOS!B71</f>
        <v>80000</v>
      </c>
      <c r="C256" s="103">
        <v>1</v>
      </c>
      <c r="D256" s="75">
        <f>C256*B256</f>
        <v>80000</v>
      </c>
      <c r="E256" s="102">
        <f>INSUMOS!E71</f>
        <v>3</v>
      </c>
    </row>
    <row r="257" spans="1:5" x14ac:dyDescent="0.25">
      <c r="A257" s="77" t="s">
        <v>436</v>
      </c>
      <c r="B257" s="78">
        <f>INSUMOS!B47</f>
        <v>638000</v>
      </c>
      <c r="C257" s="104">
        <v>1</v>
      </c>
      <c r="D257" s="78">
        <f>C257*B257</f>
        <v>638000</v>
      </c>
      <c r="E257" s="97">
        <f>5.8*INSUMOS!E47</f>
        <v>50.054000000000002</v>
      </c>
    </row>
    <row r="258" spans="1:5" x14ac:dyDescent="0.25">
      <c r="A258" s="77" t="s">
        <v>363</v>
      </c>
      <c r="B258" s="78">
        <f>INSUMOS!B277</f>
        <v>600000</v>
      </c>
      <c r="C258" s="104">
        <v>1</v>
      </c>
      <c r="D258" s="78">
        <f>C258*B258</f>
        <v>600000</v>
      </c>
      <c r="E258" s="105"/>
    </row>
    <row r="259" spans="1:5" x14ac:dyDescent="0.25">
      <c r="A259" s="82"/>
      <c r="B259" s="83"/>
      <c r="C259" s="83"/>
      <c r="D259" s="83">
        <f>SUM(D256:D258)</f>
        <v>1318000</v>
      </c>
      <c r="E259" s="100">
        <f>SUM(E256:E258)</f>
        <v>53.054000000000002</v>
      </c>
    </row>
    <row r="261" spans="1:5" x14ac:dyDescent="0.25">
      <c r="A261" s="279" t="s">
        <v>437</v>
      </c>
      <c r="B261" s="279"/>
      <c r="C261" s="279"/>
      <c r="D261" s="279"/>
      <c r="E261" s="279"/>
    </row>
    <row r="262" spans="1:5" x14ac:dyDescent="0.25">
      <c r="A262" s="71" t="s">
        <v>92</v>
      </c>
      <c r="B262" s="71" t="s">
        <v>93</v>
      </c>
      <c r="C262" s="71" t="s">
        <v>227</v>
      </c>
      <c r="D262" s="71" t="s">
        <v>228</v>
      </c>
      <c r="E262" s="73" t="s">
        <v>229</v>
      </c>
    </row>
    <row r="263" spans="1:5" x14ac:dyDescent="0.25">
      <c r="A263" s="74" t="s">
        <v>438</v>
      </c>
      <c r="B263" s="75">
        <f>INSUMOS!B70</f>
        <v>80000</v>
      </c>
      <c r="C263" s="103">
        <v>1</v>
      </c>
      <c r="D263" s="75">
        <f>C263*B263</f>
        <v>80000</v>
      </c>
      <c r="E263" s="102">
        <f>INSUMOS!E70</f>
        <v>3</v>
      </c>
    </row>
    <row r="264" spans="1:5" x14ac:dyDescent="0.25">
      <c r="A264" s="77" t="s">
        <v>439</v>
      </c>
      <c r="B264" s="78">
        <f>INSUMOS!B46</f>
        <v>440000.00000000006</v>
      </c>
      <c r="C264" s="104">
        <v>0.75</v>
      </c>
      <c r="D264" s="78">
        <f>C264*B264</f>
        <v>330000.00000000006</v>
      </c>
      <c r="E264" s="97">
        <f>3.5*INSUMOS!E46</f>
        <v>19.046899331029127</v>
      </c>
    </row>
    <row r="265" spans="1:5" x14ac:dyDescent="0.25">
      <c r="A265" s="77" t="s">
        <v>440</v>
      </c>
      <c r="B265" s="78">
        <f>INSUMOS!B276</f>
        <v>550000</v>
      </c>
      <c r="C265" s="104">
        <v>1</v>
      </c>
      <c r="D265" s="78">
        <f>C265*B265</f>
        <v>550000</v>
      </c>
      <c r="E265" s="105"/>
    </row>
    <row r="266" spans="1:5" x14ac:dyDescent="0.25">
      <c r="A266" s="82"/>
      <c r="B266" s="83"/>
      <c r="C266" s="83"/>
      <c r="D266" s="83">
        <f>SUM(D263:D265)</f>
        <v>960000</v>
      </c>
      <c r="E266" s="100">
        <f>SUM(E263:E265)</f>
        <v>22.046899331029127</v>
      </c>
    </row>
    <row r="268" spans="1:5" x14ac:dyDescent="0.25">
      <c r="A268" s="279" t="s">
        <v>441</v>
      </c>
      <c r="B268" s="279"/>
      <c r="C268" s="279"/>
      <c r="D268" s="279"/>
      <c r="E268" s="279"/>
    </row>
    <row r="269" spans="1:5" x14ac:dyDescent="0.25">
      <c r="A269" s="71" t="s">
        <v>92</v>
      </c>
      <c r="B269" s="71" t="s">
        <v>93</v>
      </c>
      <c r="C269" s="71" t="s">
        <v>227</v>
      </c>
      <c r="D269" s="71" t="s">
        <v>228</v>
      </c>
      <c r="E269" s="73" t="s">
        <v>229</v>
      </c>
    </row>
    <row r="270" spans="1:5" x14ac:dyDescent="0.25">
      <c r="A270" s="74" t="s">
        <v>442</v>
      </c>
      <c r="B270" s="75">
        <f>INSUMOS!B85</f>
        <v>350000</v>
      </c>
      <c r="C270" s="103">
        <v>1</v>
      </c>
      <c r="D270" s="75">
        <f>C270*B270</f>
        <v>350000</v>
      </c>
      <c r="E270" s="102">
        <f>INSUMOS!E76</f>
        <v>23</v>
      </c>
    </row>
    <row r="271" spans="1:5" x14ac:dyDescent="0.25">
      <c r="A271" s="77" t="s">
        <v>443</v>
      </c>
      <c r="B271" s="78">
        <f>INSUMOS!B53</f>
        <v>5830000.0000000009</v>
      </c>
      <c r="C271" s="104">
        <v>1</v>
      </c>
      <c r="D271" s="78">
        <f>C271*B271</f>
        <v>5830000.0000000009</v>
      </c>
      <c r="E271" s="97">
        <f>INSUMOS!E53*5.8</f>
        <v>349.73999999999995</v>
      </c>
    </row>
    <row r="272" spans="1:5" x14ac:dyDescent="0.25">
      <c r="A272" s="77" t="s">
        <v>444</v>
      </c>
      <c r="B272" s="78">
        <f>INSUMOS!B284</f>
        <v>4800000</v>
      </c>
      <c r="C272" s="104">
        <v>1</v>
      </c>
      <c r="D272" s="78">
        <f>C272*B272</f>
        <v>4800000</v>
      </c>
      <c r="E272" s="105"/>
    </row>
    <row r="273" spans="1:5" x14ac:dyDescent="0.25">
      <c r="A273" s="82"/>
      <c r="B273" s="83"/>
      <c r="C273" s="83"/>
      <c r="D273" s="83">
        <f>SUM(D270:D272)</f>
        <v>10980000</v>
      </c>
      <c r="E273" s="100">
        <f>SUM(E270:E272)</f>
        <v>372.73999999999995</v>
      </c>
    </row>
    <row r="275" spans="1:5" x14ac:dyDescent="0.25">
      <c r="A275" s="279" t="s">
        <v>445</v>
      </c>
      <c r="B275" s="279"/>
      <c r="C275" s="279"/>
      <c r="D275" s="279"/>
      <c r="E275" s="279"/>
    </row>
    <row r="276" spans="1:5" x14ac:dyDescent="0.25">
      <c r="A276" s="71" t="s">
        <v>92</v>
      </c>
      <c r="B276" s="71" t="s">
        <v>93</v>
      </c>
      <c r="C276" s="71" t="s">
        <v>227</v>
      </c>
      <c r="D276" s="71" t="s">
        <v>228</v>
      </c>
      <c r="E276" s="73" t="s">
        <v>229</v>
      </c>
    </row>
    <row r="277" spans="1:5" x14ac:dyDescent="0.25">
      <c r="A277" s="74" t="s">
        <v>446</v>
      </c>
      <c r="B277" s="75">
        <f>INSUMOS!B94</f>
        <v>871500</v>
      </c>
      <c r="C277" s="103">
        <v>1</v>
      </c>
      <c r="D277" s="75">
        <f>C277*B277</f>
        <v>871500</v>
      </c>
      <c r="E277" s="102">
        <f>INSUMOS!E94</f>
        <v>23</v>
      </c>
    </row>
    <row r="278" spans="1:5" x14ac:dyDescent="0.25">
      <c r="A278" s="77" t="s">
        <v>447</v>
      </c>
      <c r="B278" s="78">
        <f>INSUMOS!B63</f>
        <v>14500000</v>
      </c>
      <c r="C278" s="104">
        <v>1</v>
      </c>
      <c r="D278" s="78">
        <f>C278*B278</f>
        <v>14500000</v>
      </c>
      <c r="E278" s="97">
        <f>INSUMOS!E63*5.8</f>
        <v>349.73999999999995</v>
      </c>
    </row>
    <row r="279" spans="1:5" x14ac:dyDescent="0.25">
      <c r="A279" s="77" t="s">
        <v>444</v>
      </c>
      <c r="B279" s="78">
        <f>INSUMOS!B284</f>
        <v>4800000</v>
      </c>
      <c r="C279" s="104">
        <v>1</v>
      </c>
      <c r="D279" s="78">
        <f>C279*B279</f>
        <v>4800000</v>
      </c>
      <c r="E279" s="105"/>
    </row>
    <row r="280" spans="1:5" x14ac:dyDescent="0.25">
      <c r="A280" s="82"/>
      <c r="B280" s="83"/>
      <c r="C280" s="83"/>
      <c r="D280" s="83">
        <f>SUM(D277:D279)</f>
        <v>20171500</v>
      </c>
      <c r="E280" s="100">
        <f>SUM(E277:E279)</f>
        <v>372.73999999999995</v>
      </c>
    </row>
    <row r="282" spans="1:5" x14ac:dyDescent="0.25">
      <c r="A282" s="279" t="s">
        <v>448</v>
      </c>
      <c r="B282" s="279"/>
      <c r="C282" s="279"/>
      <c r="D282" s="279"/>
      <c r="E282" s="279"/>
    </row>
    <row r="283" spans="1:5" x14ac:dyDescent="0.25">
      <c r="A283" s="72" t="s">
        <v>92</v>
      </c>
      <c r="B283" s="72" t="s">
        <v>93</v>
      </c>
      <c r="C283" s="71" t="s">
        <v>227</v>
      </c>
      <c r="D283" s="71" t="s">
        <v>228</v>
      </c>
      <c r="E283" s="73" t="s">
        <v>229</v>
      </c>
    </row>
    <row r="284" spans="1:5" x14ac:dyDescent="0.25">
      <c r="A284" s="74" t="s">
        <v>345</v>
      </c>
      <c r="B284" s="75">
        <f>INSUMOS!B72</f>
        <v>98250</v>
      </c>
      <c r="C284" s="103">
        <v>1</v>
      </c>
      <c r="D284" s="75">
        <f>C284*B284</f>
        <v>98250</v>
      </c>
      <c r="E284" s="102">
        <f>INSUMOS!E72</f>
        <v>4.93</v>
      </c>
    </row>
    <row r="285" spans="1:5" x14ac:dyDescent="0.25">
      <c r="A285" s="94" t="s">
        <v>449</v>
      </c>
      <c r="B285" s="78">
        <f>INSUMOS!B48</f>
        <v>751564.00000000012</v>
      </c>
      <c r="C285" s="104">
        <v>1</v>
      </c>
      <c r="D285" s="78">
        <f>C285*B285</f>
        <v>751564.00000000012</v>
      </c>
      <c r="E285" s="97">
        <f>5.8*INSUMOS!E48</f>
        <v>65.540000000000006</v>
      </c>
    </row>
    <row r="286" spans="1:5" x14ac:dyDescent="0.25">
      <c r="A286" s="94" t="s">
        <v>347</v>
      </c>
      <c r="B286" s="78">
        <f>INSUMOS!B278</f>
        <v>1050000</v>
      </c>
      <c r="C286" s="104">
        <v>1</v>
      </c>
      <c r="D286" s="78">
        <f>C286*B286</f>
        <v>1050000</v>
      </c>
      <c r="E286" s="105" t="s">
        <v>232</v>
      </c>
    </row>
    <row r="287" spans="1:5" x14ac:dyDescent="0.25">
      <c r="A287" s="82"/>
      <c r="B287" s="83"/>
      <c r="C287" s="83" t="s">
        <v>122</v>
      </c>
      <c r="D287" s="83">
        <f>SUM(D284:D286)</f>
        <v>1899814</v>
      </c>
      <c r="E287" s="100">
        <f>SUM(E284:E286)</f>
        <v>70.47</v>
      </c>
    </row>
    <row r="289" spans="1:5" x14ac:dyDescent="0.25">
      <c r="A289" s="279" t="s">
        <v>450</v>
      </c>
      <c r="B289" s="279"/>
      <c r="C289" s="279"/>
      <c r="D289" s="279"/>
      <c r="E289" s="279"/>
    </row>
    <row r="290" spans="1:5" x14ac:dyDescent="0.25">
      <c r="A290" s="72" t="s">
        <v>92</v>
      </c>
      <c r="B290" s="72" t="s">
        <v>93</v>
      </c>
      <c r="C290" s="71" t="s">
        <v>227</v>
      </c>
      <c r="D290" s="71" t="s">
        <v>228</v>
      </c>
      <c r="E290" s="73" t="s">
        <v>229</v>
      </c>
    </row>
    <row r="291" spans="1:5" x14ac:dyDescent="0.25">
      <c r="A291" s="74" t="s">
        <v>349</v>
      </c>
      <c r="B291" s="75">
        <f>INSUMOS!B73</f>
        <v>148500</v>
      </c>
      <c r="C291" s="103">
        <v>1</v>
      </c>
      <c r="D291" s="75">
        <f>C291*B291</f>
        <v>148500</v>
      </c>
      <c r="E291" s="102">
        <f>INSUMOS!E73</f>
        <v>7</v>
      </c>
    </row>
    <row r="292" spans="1:5" x14ac:dyDescent="0.25">
      <c r="A292" s="94" t="s">
        <v>417</v>
      </c>
      <c r="B292" s="78">
        <f>INSUMOS!B49</f>
        <v>1052700</v>
      </c>
      <c r="C292" s="104">
        <v>0.5</v>
      </c>
      <c r="D292" s="78">
        <f>C292*B292</f>
        <v>526350</v>
      </c>
      <c r="E292" s="97">
        <f>2*INSUMOS!E49</f>
        <v>32.18</v>
      </c>
    </row>
    <row r="293" spans="1:5" x14ac:dyDescent="0.25">
      <c r="A293" s="94" t="s">
        <v>351</v>
      </c>
      <c r="B293" s="78">
        <f>INSUMOS!B279</f>
        <v>1680000</v>
      </c>
      <c r="C293" s="104">
        <v>1</v>
      </c>
      <c r="D293" s="78">
        <f>C293*B293</f>
        <v>1680000</v>
      </c>
      <c r="E293" s="105" t="s">
        <v>232</v>
      </c>
    </row>
    <row r="294" spans="1:5" x14ac:dyDescent="0.25">
      <c r="A294" s="82"/>
      <c r="B294" s="83"/>
      <c r="C294" s="83"/>
      <c r="D294" s="83">
        <f>SUM(D291:D293)</f>
        <v>2354850</v>
      </c>
      <c r="E294" s="100">
        <f>SUM(E291:E293)</f>
        <v>39.18</v>
      </c>
    </row>
    <row r="296" spans="1:5" x14ac:dyDescent="0.25">
      <c r="A296" s="279" t="s">
        <v>451</v>
      </c>
      <c r="B296" s="279"/>
      <c r="C296" s="279"/>
      <c r="D296" s="279"/>
      <c r="E296" s="279"/>
    </row>
    <row r="297" spans="1:5" x14ac:dyDescent="0.25">
      <c r="A297" s="72" t="s">
        <v>92</v>
      </c>
      <c r="B297" s="72" t="s">
        <v>93</v>
      </c>
      <c r="C297" s="71" t="s">
        <v>227</v>
      </c>
      <c r="D297" s="71" t="s">
        <v>228</v>
      </c>
      <c r="E297" s="73" t="s">
        <v>229</v>
      </c>
    </row>
    <row r="298" spans="1:5" x14ac:dyDescent="0.25">
      <c r="A298" s="74" t="s">
        <v>452</v>
      </c>
      <c r="B298" s="75">
        <f>INSUMOS!B82</f>
        <v>130000</v>
      </c>
      <c r="C298" s="103">
        <v>1</v>
      </c>
      <c r="D298" s="75">
        <f>C298*B298</f>
        <v>130000</v>
      </c>
      <c r="E298" s="102">
        <f>INSUMOS!E82</f>
        <v>9.5</v>
      </c>
    </row>
    <row r="299" spans="1:5" x14ac:dyDescent="0.25">
      <c r="A299" s="94" t="s">
        <v>453</v>
      </c>
      <c r="B299" s="78">
        <f>INSUMOS!B50</f>
        <v>1333000</v>
      </c>
      <c r="C299" s="104">
        <v>1</v>
      </c>
      <c r="D299" s="78">
        <f>C299*B299</f>
        <v>1333000</v>
      </c>
      <c r="E299" s="97">
        <f>4.2*INSUMOS!E50</f>
        <v>91.56</v>
      </c>
    </row>
    <row r="300" spans="1:5" x14ac:dyDescent="0.25">
      <c r="A300" s="94" t="s">
        <v>454</v>
      </c>
      <c r="B300" s="78">
        <f>INSUMOS!B280</f>
        <v>2000000</v>
      </c>
      <c r="C300" s="104">
        <v>1</v>
      </c>
      <c r="D300" s="78">
        <f>C300*B300</f>
        <v>2000000</v>
      </c>
      <c r="E300" s="105" t="s">
        <v>232</v>
      </c>
    </row>
    <row r="301" spans="1:5" x14ac:dyDescent="0.25">
      <c r="A301" s="82"/>
      <c r="B301" s="83"/>
      <c r="C301" s="83" t="s">
        <v>122</v>
      </c>
      <c r="D301" s="83">
        <f>SUM(D298:D300)</f>
        <v>3463000</v>
      </c>
      <c r="E301" s="100">
        <f>SUM(E298:E300)</f>
        <v>101.06</v>
      </c>
    </row>
    <row r="303" spans="1:5" x14ac:dyDescent="0.25">
      <c r="A303" s="279" t="s">
        <v>455</v>
      </c>
      <c r="B303" s="279"/>
      <c r="C303" s="279"/>
      <c r="D303" s="279"/>
      <c r="E303" s="279"/>
    </row>
    <row r="304" spans="1:5" x14ac:dyDescent="0.25">
      <c r="A304" s="71" t="s">
        <v>92</v>
      </c>
      <c r="B304" s="71" t="s">
        <v>93</v>
      </c>
      <c r="C304" s="71" t="s">
        <v>227</v>
      </c>
      <c r="D304" s="71" t="s">
        <v>228</v>
      </c>
      <c r="E304" s="73" t="s">
        <v>229</v>
      </c>
    </row>
    <row r="305" spans="1:5" x14ac:dyDescent="0.25">
      <c r="A305" s="74" t="s">
        <v>425</v>
      </c>
      <c r="B305" s="75">
        <f>INSUMOS!B89</f>
        <v>130000</v>
      </c>
      <c r="C305" s="103">
        <v>1</v>
      </c>
      <c r="D305" s="75">
        <f>C305*B305</f>
        <v>130000</v>
      </c>
      <c r="E305" s="102">
        <f>INSUMOS!E89</f>
        <v>3.28</v>
      </c>
    </row>
    <row r="306" spans="1:5" x14ac:dyDescent="0.25">
      <c r="A306" s="77" t="s">
        <v>456</v>
      </c>
      <c r="B306" s="78">
        <f>INSUMOS!B58</f>
        <v>1276000</v>
      </c>
      <c r="C306" s="104">
        <v>1</v>
      </c>
      <c r="D306" s="78">
        <f>C306*B306</f>
        <v>1276000</v>
      </c>
      <c r="E306" s="97">
        <f>5.8*INSUMOS!E58</f>
        <v>49.879999999999995</v>
      </c>
    </row>
    <row r="307" spans="1:5" x14ac:dyDescent="0.25">
      <c r="A307" s="77" t="s">
        <v>363</v>
      </c>
      <c r="B307" s="78">
        <f>INSUMOS!B277</f>
        <v>600000</v>
      </c>
      <c r="C307" s="104">
        <v>1</v>
      </c>
      <c r="D307" s="78">
        <f>C307*B307</f>
        <v>600000</v>
      </c>
      <c r="E307" s="105"/>
    </row>
    <row r="308" spans="1:5" x14ac:dyDescent="0.25">
      <c r="A308" s="82"/>
      <c r="B308" s="83"/>
      <c r="C308" s="83"/>
      <c r="D308" s="83">
        <f>SUM(D305:D307)</f>
        <v>2006000</v>
      </c>
      <c r="E308" s="100">
        <f>SUM(E305:E307)</f>
        <v>53.16</v>
      </c>
    </row>
    <row r="310" spans="1:5" x14ac:dyDescent="0.25">
      <c r="A310" s="279" t="s">
        <v>457</v>
      </c>
      <c r="B310" s="279"/>
      <c r="C310" s="279"/>
      <c r="D310" s="279"/>
      <c r="E310" s="279"/>
    </row>
    <row r="311" spans="1:5" x14ac:dyDescent="0.25">
      <c r="A311" s="71" t="s">
        <v>92</v>
      </c>
      <c r="B311" s="71" t="s">
        <v>93</v>
      </c>
      <c r="C311" s="71" t="s">
        <v>227</v>
      </c>
      <c r="D311" s="71" t="s">
        <v>228</v>
      </c>
      <c r="E311" s="73" t="s">
        <v>229</v>
      </c>
    </row>
    <row r="312" spans="1:5" x14ac:dyDescent="0.25">
      <c r="A312" s="74" t="s">
        <v>425</v>
      </c>
      <c r="B312" s="75">
        <f>INSUMOS!B89</f>
        <v>130000</v>
      </c>
      <c r="C312" s="103">
        <v>1</v>
      </c>
      <c r="D312" s="75">
        <f>C312*B312</f>
        <v>130000</v>
      </c>
      <c r="E312" s="102">
        <f>INSUMOS!E89</f>
        <v>3.28</v>
      </c>
    </row>
    <row r="313" spans="1:5" x14ac:dyDescent="0.25">
      <c r="A313" s="94" t="s">
        <v>458</v>
      </c>
      <c r="B313" s="78">
        <f>INSUMOS!B58</f>
        <v>1276000</v>
      </c>
      <c r="C313" s="104">
        <v>0.5</v>
      </c>
      <c r="D313" s="78">
        <f>C313*B313</f>
        <v>638000</v>
      </c>
      <c r="E313" s="97">
        <f>2*INSUMOS!E376</f>
        <v>0</v>
      </c>
    </row>
    <row r="314" spans="1:5" x14ac:dyDescent="0.25">
      <c r="A314" s="94" t="s">
        <v>363</v>
      </c>
      <c r="B314" s="78">
        <f>INSUMOS!B277</f>
        <v>600000</v>
      </c>
      <c r="C314" s="104">
        <v>1</v>
      </c>
      <c r="D314" s="78">
        <f>C314*B314</f>
        <v>600000</v>
      </c>
      <c r="E314" s="105"/>
    </row>
    <row r="315" spans="1:5" x14ac:dyDescent="0.25">
      <c r="A315" s="82"/>
      <c r="B315" s="83"/>
      <c r="C315" s="83"/>
      <c r="D315" s="83">
        <f>SUM(D312:D314)</f>
        <v>1368000</v>
      </c>
      <c r="E315" s="100">
        <f>SUM(E312:E314)</f>
        <v>3.28</v>
      </c>
    </row>
    <row r="317" spans="1:5" x14ac:dyDescent="0.25">
      <c r="A317" s="279" t="s">
        <v>459</v>
      </c>
      <c r="B317" s="279"/>
      <c r="C317" s="279"/>
      <c r="D317" s="279"/>
      <c r="E317" s="279"/>
    </row>
    <row r="318" spans="1:5" x14ac:dyDescent="0.25">
      <c r="A318" s="72" t="s">
        <v>92</v>
      </c>
      <c r="B318" s="72" t="s">
        <v>93</v>
      </c>
      <c r="C318" s="71" t="s">
        <v>227</v>
      </c>
      <c r="D318" s="71" t="s">
        <v>228</v>
      </c>
      <c r="E318" s="73" t="s">
        <v>229</v>
      </c>
    </row>
    <row r="319" spans="1:5" x14ac:dyDescent="0.25">
      <c r="A319" s="74" t="s">
        <v>460</v>
      </c>
      <c r="B319" s="75">
        <f>INSUMOS!B88</f>
        <v>120000</v>
      </c>
      <c r="C319" s="103">
        <v>1</v>
      </c>
      <c r="D319" s="75">
        <f>C319*B319</f>
        <v>120000</v>
      </c>
      <c r="E319" s="102">
        <f>INSUMOS!E57</f>
        <v>5.4</v>
      </c>
    </row>
    <row r="320" spans="1:5" x14ac:dyDescent="0.25">
      <c r="A320" s="94" t="s">
        <v>461</v>
      </c>
      <c r="B320" s="78">
        <f>INSUMOS!B57</f>
        <v>1050000</v>
      </c>
      <c r="C320" s="104">
        <v>0.5</v>
      </c>
      <c r="D320" s="78">
        <f>C320*B320</f>
        <v>525000</v>
      </c>
      <c r="E320" s="97">
        <f>1.8*INSUMOS!E57</f>
        <v>9.7200000000000006</v>
      </c>
    </row>
    <row r="321" spans="1:5" x14ac:dyDescent="0.25">
      <c r="A321" s="94" t="s">
        <v>423</v>
      </c>
      <c r="B321" s="78">
        <f>INSUMOS!B276</f>
        <v>550000</v>
      </c>
      <c r="C321" s="104">
        <v>1</v>
      </c>
      <c r="D321" s="78">
        <f>C321*B321</f>
        <v>550000</v>
      </c>
      <c r="E321" s="105" t="s">
        <v>232</v>
      </c>
    </row>
    <row r="322" spans="1:5" x14ac:dyDescent="0.25">
      <c r="A322" s="82"/>
      <c r="B322" s="83"/>
      <c r="C322" s="83" t="s">
        <v>122</v>
      </c>
      <c r="D322" s="83">
        <f>SUM(D319:D321)</f>
        <v>1195000</v>
      </c>
      <c r="E322" s="100">
        <f>SUM(E319:E321)</f>
        <v>15.120000000000001</v>
      </c>
    </row>
    <row r="324" spans="1:5" x14ac:dyDescent="0.25">
      <c r="A324" s="279" t="s">
        <v>462</v>
      </c>
      <c r="B324" s="279"/>
      <c r="C324" s="279"/>
      <c r="D324" s="279"/>
      <c r="E324" s="279"/>
    </row>
    <row r="325" spans="1:5" x14ac:dyDescent="0.25">
      <c r="A325" s="72" t="s">
        <v>92</v>
      </c>
      <c r="B325" s="72" t="s">
        <v>93</v>
      </c>
      <c r="C325" s="71" t="s">
        <v>227</v>
      </c>
      <c r="D325" s="71" t="s">
        <v>228</v>
      </c>
      <c r="E325" s="73" t="s">
        <v>229</v>
      </c>
    </row>
    <row r="326" spans="1:5" x14ac:dyDescent="0.25">
      <c r="A326" s="74" t="s">
        <v>370</v>
      </c>
      <c r="B326" s="75">
        <f>INSUMOS!B93</f>
        <v>480000</v>
      </c>
      <c r="C326" s="103">
        <v>1</v>
      </c>
      <c r="D326" s="75">
        <f>C326*B326</f>
        <v>480000</v>
      </c>
      <c r="E326" s="102">
        <f>INSUMOS!E93</f>
        <v>15</v>
      </c>
    </row>
    <row r="327" spans="1:5" x14ac:dyDescent="0.25">
      <c r="A327" s="94" t="s">
        <v>463</v>
      </c>
      <c r="B327" s="78">
        <f>INSUMOS!B62</f>
        <v>4770500</v>
      </c>
      <c r="C327" s="104">
        <v>1</v>
      </c>
      <c r="D327" s="78">
        <f>C327*B327</f>
        <v>4770500</v>
      </c>
      <c r="E327" s="97">
        <f>5.8*INSUMOS!E62</f>
        <v>247.08</v>
      </c>
    </row>
    <row r="328" spans="1:5" x14ac:dyDescent="0.25">
      <c r="A328" s="94" t="s">
        <v>372</v>
      </c>
      <c r="B328" s="78">
        <f>INSUMOS!B282</f>
        <v>3500000</v>
      </c>
      <c r="C328" s="104">
        <v>1</v>
      </c>
      <c r="D328" s="78">
        <f>C328*B328</f>
        <v>3500000</v>
      </c>
      <c r="E328" s="105" t="s">
        <v>232</v>
      </c>
    </row>
    <row r="329" spans="1:5" x14ac:dyDescent="0.25">
      <c r="A329" s="82"/>
      <c r="B329" s="83"/>
      <c r="C329" s="83" t="s">
        <v>122</v>
      </c>
      <c r="D329" s="83">
        <f>SUM(D326:D328)</f>
        <v>8750500</v>
      </c>
      <c r="E329" s="100">
        <f>SUM(E326:E328)</f>
        <v>262.08000000000004</v>
      </c>
    </row>
    <row r="331" spans="1:5" x14ac:dyDescent="0.25">
      <c r="A331" s="279" t="s">
        <v>464</v>
      </c>
      <c r="B331" s="279"/>
      <c r="C331" s="279"/>
      <c r="D331" s="279"/>
      <c r="E331" s="279"/>
    </row>
    <row r="332" spans="1:5" x14ac:dyDescent="0.25">
      <c r="A332" s="72" t="s">
        <v>92</v>
      </c>
      <c r="B332" s="72" t="s">
        <v>93</v>
      </c>
      <c r="C332" s="71" t="s">
        <v>227</v>
      </c>
      <c r="D332" s="71" t="s">
        <v>228</v>
      </c>
      <c r="E332" s="73" t="s">
        <v>229</v>
      </c>
    </row>
    <row r="333" spans="1:5" x14ac:dyDescent="0.25">
      <c r="A333" s="74" t="s">
        <v>465</v>
      </c>
      <c r="B333" s="75">
        <f>INSUMOS!B96</f>
        <v>45000</v>
      </c>
      <c r="C333" s="103">
        <v>1</v>
      </c>
      <c r="D333" s="75">
        <f>C333*B333</f>
        <v>45000</v>
      </c>
      <c r="E333" s="102">
        <f>INSUMOS!E87</f>
        <v>2</v>
      </c>
    </row>
    <row r="334" spans="1:5" x14ac:dyDescent="0.25">
      <c r="A334" s="94" t="s">
        <v>466</v>
      </c>
      <c r="B334" s="78">
        <f>INSUMOS!B56</f>
        <v>310000</v>
      </c>
      <c r="C334" s="104">
        <v>0.5</v>
      </c>
      <c r="D334" s="78">
        <f>C334*B334</f>
        <v>155000</v>
      </c>
      <c r="E334" s="97">
        <f>C334*INSUMOS!E56</f>
        <v>1.6</v>
      </c>
    </row>
    <row r="335" spans="1:5" x14ac:dyDescent="0.25">
      <c r="A335" s="94" t="s">
        <v>467</v>
      </c>
      <c r="B335" s="78">
        <f>INSUMOS!B275</f>
        <v>400000</v>
      </c>
      <c r="C335" s="104">
        <v>1</v>
      </c>
      <c r="D335" s="78">
        <f>C335*B335</f>
        <v>400000</v>
      </c>
      <c r="E335" s="105" t="s">
        <v>232</v>
      </c>
    </row>
    <row r="336" spans="1:5" x14ac:dyDescent="0.25">
      <c r="A336" s="82"/>
      <c r="B336" s="83"/>
      <c r="C336" s="83" t="s">
        <v>122</v>
      </c>
      <c r="D336" s="83">
        <f>SUM(D333:D335)</f>
        <v>600000</v>
      </c>
      <c r="E336" s="100">
        <f>SUM(E333:E335)</f>
        <v>3.6</v>
      </c>
    </row>
    <row r="338" spans="1:5" x14ac:dyDescent="0.25">
      <c r="A338" s="279" t="s">
        <v>468</v>
      </c>
      <c r="B338" s="279"/>
      <c r="C338" s="279"/>
      <c r="D338" s="279"/>
      <c r="E338" s="279"/>
    </row>
    <row r="339" spans="1:5" x14ac:dyDescent="0.25">
      <c r="A339" s="72" t="s">
        <v>92</v>
      </c>
      <c r="B339" s="72" t="s">
        <v>93</v>
      </c>
      <c r="C339" s="71" t="s">
        <v>227</v>
      </c>
      <c r="D339" s="71" t="s">
        <v>228</v>
      </c>
      <c r="E339" s="73" t="s">
        <v>229</v>
      </c>
    </row>
    <row r="340" spans="1:5" x14ac:dyDescent="0.25">
      <c r="A340" s="74" t="s">
        <v>469</v>
      </c>
      <c r="B340" s="75">
        <f>INSUMOS!B69</f>
        <v>65000</v>
      </c>
      <c r="C340" s="103">
        <v>1</v>
      </c>
      <c r="D340" s="75">
        <f>C340*B340</f>
        <v>65000</v>
      </c>
      <c r="E340" s="102">
        <f>INSUMOS!E69</f>
        <v>2</v>
      </c>
    </row>
    <row r="341" spans="1:5" x14ac:dyDescent="0.25">
      <c r="A341" s="94" t="s">
        <v>470</v>
      </c>
      <c r="B341" s="78">
        <f>INSUMOS!B45</f>
        <v>250000</v>
      </c>
      <c r="C341" s="104">
        <v>0.75</v>
      </c>
      <c r="D341" s="78">
        <f>C341*B341</f>
        <v>187500</v>
      </c>
      <c r="E341" s="97">
        <f>3.5*INSUMOS!E45</f>
        <v>11.200000000000001</v>
      </c>
    </row>
    <row r="342" spans="1:5" x14ac:dyDescent="0.25">
      <c r="A342" s="94" t="s">
        <v>467</v>
      </c>
      <c r="B342" s="78">
        <f>INSUMOS!B275</f>
        <v>400000</v>
      </c>
      <c r="C342" s="104">
        <v>1</v>
      </c>
      <c r="D342" s="78">
        <f>C342*B342</f>
        <v>400000</v>
      </c>
      <c r="E342" s="105" t="s">
        <v>232</v>
      </c>
    </row>
    <row r="343" spans="1:5" x14ac:dyDescent="0.25">
      <c r="A343" s="82"/>
      <c r="B343" s="83"/>
      <c r="C343" s="83" t="s">
        <v>122</v>
      </c>
      <c r="D343" s="83">
        <f>SUM(D340:D342)</f>
        <v>652500</v>
      </c>
      <c r="E343" s="100">
        <f>SUM(E340:E342)</f>
        <v>13.200000000000001</v>
      </c>
    </row>
    <row r="345" spans="1:5" x14ac:dyDescent="0.25">
      <c r="A345" s="279" t="s">
        <v>471</v>
      </c>
      <c r="B345" s="279"/>
      <c r="C345" s="279"/>
      <c r="D345" s="279"/>
      <c r="E345" s="279"/>
    </row>
    <row r="346" spans="1:5" x14ac:dyDescent="0.25">
      <c r="A346" s="71" t="s">
        <v>92</v>
      </c>
      <c r="B346" s="71" t="s">
        <v>93</v>
      </c>
      <c r="C346" s="71" t="s">
        <v>227</v>
      </c>
      <c r="D346" s="71" t="s">
        <v>228</v>
      </c>
      <c r="E346" s="73" t="s">
        <v>229</v>
      </c>
    </row>
    <row r="347" spans="1:5" x14ac:dyDescent="0.25">
      <c r="A347" s="74" t="s">
        <v>379</v>
      </c>
      <c r="B347" s="75">
        <f>INSUMOS!B74</f>
        <v>212000</v>
      </c>
      <c r="C347" s="103">
        <v>1</v>
      </c>
      <c r="D347" s="75">
        <f>C347*B347</f>
        <v>212000</v>
      </c>
      <c r="E347" s="102">
        <f>INSUMOS!E74</f>
        <v>11.3</v>
      </c>
    </row>
    <row r="348" spans="1:5" x14ac:dyDescent="0.25">
      <c r="A348" s="94" t="s">
        <v>472</v>
      </c>
      <c r="B348" s="78">
        <f>INSUMOS!B51</f>
        <v>2978800.0000000005</v>
      </c>
      <c r="C348" s="104">
        <v>0.5</v>
      </c>
      <c r="D348" s="78">
        <f>C348*B348</f>
        <v>1489400.0000000002</v>
      </c>
      <c r="E348" s="97">
        <f>2*INSUMOS!E51</f>
        <v>56.4</v>
      </c>
    </row>
    <row r="349" spans="1:5" x14ac:dyDescent="0.25">
      <c r="A349" s="94" t="s">
        <v>357</v>
      </c>
      <c r="B349" s="78">
        <f>INSUMOS!B281</f>
        <v>2300000</v>
      </c>
      <c r="C349" s="104">
        <v>1</v>
      </c>
      <c r="D349" s="78">
        <f>C349*B349</f>
        <v>2300000</v>
      </c>
      <c r="E349" s="105" t="s">
        <v>232</v>
      </c>
    </row>
    <row r="350" spans="1:5" x14ac:dyDescent="0.25">
      <c r="A350" s="82"/>
      <c r="B350" s="83"/>
      <c r="C350" s="83"/>
      <c r="D350" s="83">
        <f>SUM(D347:D349)</f>
        <v>4001400</v>
      </c>
      <c r="E350" s="100">
        <f>SUM(E347:E349)</f>
        <v>67.7</v>
      </c>
    </row>
    <row r="352" spans="1:5" x14ac:dyDescent="0.25">
      <c r="A352" s="279" t="s">
        <v>473</v>
      </c>
      <c r="B352" s="279"/>
      <c r="C352" s="279"/>
      <c r="D352" s="279"/>
      <c r="E352" s="279"/>
    </row>
    <row r="353" spans="1:5" x14ac:dyDescent="0.25">
      <c r="A353" s="72" t="s">
        <v>92</v>
      </c>
      <c r="B353" s="72" t="s">
        <v>93</v>
      </c>
      <c r="C353" s="71" t="s">
        <v>227</v>
      </c>
      <c r="D353" s="71" t="s">
        <v>228</v>
      </c>
      <c r="E353" s="73" t="s">
        <v>229</v>
      </c>
    </row>
    <row r="354" spans="1:5" x14ac:dyDescent="0.25">
      <c r="A354" s="74" t="s">
        <v>469</v>
      </c>
      <c r="B354" s="75">
        <f>INSUMOS!B69</f>
        <v>65000</v>
      </c>
      <c r="C354" s="103">
        <v>1</v>
      </c>
      <c r="D354" s="75">
        <f>C354*B354</f>
        <v>65000</v>
      </c>
      <c r="E354" s="102">
        <f>INSUMOS!E69</f>
        <v>2</v>
      </c>
    </row>
    <row r="355" spans="1:5" x14ac:dyDescent="0.25">
      <c r="A355" s="94" t="s">
        <v>474</v>
      </c>
      <c r="B355" s="78">
        <f>INSUMOS!B45</f>
        <v>250000</v>
      </c>
      <c r="C355" s="104">
        <v>0.5</v>
      </c>
      <c r="D355" s="78">
        <f>C355*B355</f>
        <v>125000</v>
      </c>
      <c r="E355" s="97">
        <f>2*INSUMOS!E45</f>
        <v>6.4</v>
      </c>
    </row>
    <row r="356" spans="1:5" x14ac:dyDescent="0.25">
      <c r="A356" s="94" t="s">
        <v>467</v>
      </c>
      <c r="B356" s="78">
        <f>INSUMOS!B275</f>
        <v>400000</v>
      </c>
      <c r="C356" s="104">
        <v>1</v>
      </c>
      <c r="D356" s="78">
        <f>C356*B356</f>
        <v>400000</v>
      </c>
      <c r="E356" s="105" t="s">
        <v>232</v>
      </c>
    </row>
    <row r="357" spans="1:5" x14ac:dyDescent="0.25">
      <c r="A357" s="82"/>
      <c r="B357" s="83"/>
      <c r="C357" s="83" t="s">
        <v>122</v>
      </c>
      <c r="D357" s="83">
        <f>SUM(D354:D356)</f>
        <v>590000</v>
      </c>
      <c r="E357" s="100">
        <f>SUM(E354:E356)</f>
        <v>8.4</v>
      </c>
    </row>
    <row r="359" spans="1:5" x14ac:dyDescent="0.25">
      <c r="A359" s="279" t="s">
        <v>475</v>
      </c>
      <c r="B359" s="279"/>
      <c r="C359" s="279"/>
      <c r="D359" s="279"/>
      <c r="E359" s="279"/>
    </row>
    <row r="360" spans="1:5" x14ac:dyDescent="0.25">
      <c r="A360" s="71" t="s">
        <v>92</v>
      </c>
      <c r="B360" s="71" t="s">
        <v>93</v>
      </c>
      <c r="C360" s="71" t="s">
        <v>227</v>
      </c>
      <c r="D360" s="71" t="s">
        <v>228</v>
      </c>
      <c r="E360" s="73" t="s">
        <v>229</v>
      </c>
    </row>
    <row r="361" spans="1:5" x14ac:dyDescent="0.25">
      <c r="A361" s="74" t="s">
        <v>476</v>
      </c>
      <c r="B361" s="75">
        <f>INSUMOS!B88</f>
        <v>120000</v>
      </c>
      <c r="C361" s="103">
        <v>1</v>
      </c>
      <c r="D361" s="75">
        <f>C361*B361</f>
        <v>120000</v>
      </c>
      <c r="E361" s="102">
        <f>INSUMOS!E88</f>
        <v>3</v>
      </c>
    </row>
    <row r="362" spans="1:5" x14ac:dyDescent="0.25">
      <c r="A362" s="77" t="s">
        <v>477</v>
      </c>
      <c r="B362" s="78">
        <f>INSUMOS!B57</f>
        <v>1050000</v>
      </c>
      <c r="C362" s="104">
        <v>0.75</v>
      </c>
      <c r="D362" s="78">
        <f>C362*B362</f>
        <v>787500</v>
      </c>
      <c r="E362" s="97">
        <f>3.5*INSUMOS!E57</f>
        <v>18.900000000000002</v>
      </c>
    </row>
    <row r="363" spans="1:5" x14ac:dyDescent="0.25">
      <c r="A363" s="77" t="s">
        <v>440</v>
      </c>
      <c r="B363" s="78">
        <f>INSUMOS!B276</f>
        <v>550000</v>
      </c>
      <c r="C363" s="104">
        <v>1</v>
      </c>
      <c r="D363" s="78">
        <f>C363*B363</f>
        <v>550000</v>
      </c>
      <c r="E363" s="105"/>
    </row>
    <row r="364" spans="1:5" x14ac:dyDescent="0.25">
      <c r="A364" s="82"/>
      <c r="B364" s="83"/>
      <c r="C364" s="83"/>
      <c r="D364" s="83">
        <f>SUM(D361:D363)</f>
        <v>1457500</v>
      </c>
      <c r="E364" s="100">
        <f>SUM(E361:E363)</f>
        <v>21.900000000000002</v>
      </c>
    </row>
    <row r="366" spans="1:5" x14ac:dyDescent="0.25">
      <c r="A366" s="279" t="s">
        <v>478</v>
      </c>
      <c r="B366" s="279"/>
      <c r="C366" s="279"/>
      <c r="D366" s="279"/>
      <c r="E366" s="279"/>
    </row>
    <row r="367" spans="1:5" x14ac:dyDescent="0.25">
      <c r="A367" s="71" t="s">
        <v>92</v>
      </c>
      <c r="B367" s="71" t="s">
        <v>93</v>
      </c>
      <c r="C367" s="71" t="s">
        <v>227</v>
      </c>
      <c r="D367" s="71" t="s">
        <v>228</v>
      </c>
      <c r="E367" s="73" t="s">
        <v>229</v>
      </c>
    </row>
    <row r="368" spans="1:5" x14ac:dyDescent="0.25">
      <c r="A368" s="74" t="s">
        <v>409</v>
      </c>
      <c r="B368" s="75">
        <f>INSUMOS!B90</f>
        <v>209000.00000000003</v>
      </c>
      <c r="C368" s="103">
        <v>1</v>
      </c>
      <c r="D368" s="75">
        <f>C368*B368</f>
        <v>209000.00000000003</v>
      </c>
      <c r="E368" s="102">
        <f>INSUMOS!E90</f>
        <v>4.93</v>
      </c>
    </row>
    <row r="369" spans="1:5" x14ac:dyDescent="0.25">
      <c r="A369" s="94" t="s">
        <v>479</v>
      </c>
      <c r="B369" s="78">
        <f>INSUMOS!B59</f>
        <v>1320000</v>
      </c>
      <c r="C369" s="104">
        <v>0.5</v>
      </c>
      <c r="D369" s="78">
        <f>C369*B369</f>
        <v>660000</v>
      </c>
      <c r="E369" s="97">
        <f>2*INSUMOS!E59</f>
        <v>22.6</v>
      </c>
    </row>
    <row r="370" spans="1:5" x14ac:dyDescent="0.25">
      <c r="A370" s="94" t="s">
        <v>347</v>
      </c>
      <c r="B370" s="78">
        <f>INSUMOS!B278</f>
        <v>1050000</v>
      </c>
      <c r="C370" s="104">
        <v>1</v>
      </c>
      <c r="D370" s="78">
        <f>C370*B370</f>
        <v>1050000</v>
      </c>
      <c r="E370" s="105" t="s">
        <v>232</v>
      </c>
    </row>
    <row r="371" spans="1:5" x14ac:dyDescent="0.25">
      <c r="A371" s="82"/>
      <c r="B371" s="83"/>
      <c r="C371" s="83"/>
      <c r="D371" s="83">
        <f>SUM(D368:D370)</f>
        <v>1919000</v>
      </c>
      <c r="E371" s="100">
        <f>SUM(E368:E370)</f>
        <v>27.53</v>
      </c>
    </row>
    <row r="373" spans="1:5" x14ac:dyDescent="0.25">
      <c r="A373" s="279" t="s">
        <v>480</v>
      </c>
      <c r="B373" s="279"/>
      <c r="C373" s="279"/>
      <c r="D373" s="279"/>
      <c r="E373" s="279"/>
    </row>
    <row r="374" spans="1:5" x14ac:dyDescent="0.25">
      <c r="A374" s="72" t="s">
        <v>92</v>
      </c>
      <c r="B374" s="72" t="s">
        <v>93</v>
      </c>
      <c r="C374" s="71" t="s">
        <v>227</v>
      </c>
      <c r="D374" s="71" t="s">
        <v>228</v>
      </c>
      <c r="E374" s="73" t="s">
        <v>229</v>
      </c>
    </row>
    <row r="375" spans="1:5" x14ac:dyDescent="0.25">
      <c r="A375" s="74" t="s">
        <v>376</v>
      </c>
      <c r="B375" s="75">
        <f>INSUMOS!B92</f>
        <v>330000</v>
      </c>
      <c r="C375" s="103">
        <v>1</v>
      </c>
      <c r="D375" s="75">
        <f>C375*B375</f>
        <v>330000</v>
      </c>
      <c r="E375" s="102">
        <f>INSUMOS!E92</f>
        <v>11.3</v>
      </c>
    </row>
    <row r="376" spans="1:5" x14ac:dyDescent="0.25">
      <c r="A376" s="94" t="s">
        <v>481</v>
      </c>
      <c r="B376" s="78">
        <f>INSUMOS!B61</f>
        <v>3600000</v>
      </c>
      <c r="C376" s="104">
        <v>0.8</v>
      </c>
      <c r="D376" s="78">
        <f>C376*B376</f>
        <v>2880000</v>
      </c>
      <c r="E376" s="97">
        <f>3.5*INSUMOS!E61</f>
        <v>98.7</v>
      </c>
    </row>
    <row r="377" spans="1:5" x14ac:dyDescent="0.25">
      <c r="A377" s="94" t="s">
        <v>357</v>
      </c>
      <c r="B377" s="78">
        <f>INSUMOS!B281</f>
        <v>2300000</v>
      </c>
      <c r="C377" s="104">
        <v>1</v>
      </c>
      <c r="D377" s="78">
        <f>C377*B377</f>
        <v>2300000</v>
      </c>
      <c r="E377" s="105" t="s">
        <v>232</v>
      </c>
    </row>
    <row r="378" spans="1:5" x14ac:dyDescent="0.25">
      <c r="A378" s="82"/>
      <c r="B378" s="83"/>
      <c r="C378" s="83" t="s">
        <v>122</v>
      </c>
      <c r="D378" s="83">
        <f>SUM(D375:D377)</f>
        <v>5510000</v>
      </c>
      <c r="E378" s="100">
        <f>SUM(E375:E377)</f>
        <v>110</v>
      </c>
    </row>
    <row r="380" spans="1:5" x14ac:dyDescent="0.25">
      <c r="A380" s="279" t="s">
        <v>482</v>
      </c>
      <c r="B380" s="279"/>
      <c r="C380" s="279"/>
      <c r="D380" s="279"/>
      <c r="E380" s="279"/>
    </row>
    <row r="381" spans="1:5" x14ac:dyDescent="0.25">
      <c r="A381" s="72" t="s">
        <v>92</v>
      </c>
      <c r="B381" s="72" t="s">
        <v>93</v>
      </c>
      <c r="C381" s="71" t="s">
        <v>227</v>
      </c>
      <c r="D381" s="71" t="s">
        <v>228</v>
      </c>
      <c r="E381" s="73" t="s">
        <v>229</v>
      </c>
    </row>
    <row r="382" spans="1:5" x14ac:dyDescent="0.25">
      <c r="A382" s="74" t="s">
        <v>370</v>
      </c>
      <c r="B382" s="75">
        <f>INSUMOS!B93</f>
        <v>480000</v>
      </c>
      <c r="C382" s="103">
        <v>1</v>
      </c>
      <c r="D382" s="75">
        <f>C382*B382</f>
        <v>480000</v>
      </c>
      <c r="E382" s="102">
        <f>INSUMOS!E93</f>
        <v>15</v>
      </c>
    </row>
    <row r="383" spans="1:5" x14ac:dyDescent="0.25">
      <c r="A383" s="94" t="s">
        <v>483</v>
      </c>
      <c r="B383" s="78">
        <f>INSUMOS!B62</f>
        <v>4770500</v>
      </c>
      <c r="C383" s="104">
        <v>0.8</v>
      </c>
      <c r="D383" s="78">
        <f>C383*B383</f>
        <v>3816400</v>
      </c>
      <c r="E383" s="97">
        <f>+INSUMOS!E62*3.5</f>
        <v>149.1</v>
      </c>
    </row>
    <row r="384" spans="1:5" x14ac:dyDescent="0.25">
      <c r="A384" s="94" t="s">
        <v>372</v>
      </c>
      <c r="B384" s="78">
        <f>INSUMOS!B282</f>
        <v>3500000</v>
      </c>
      <c r="C384" s="104">
        <v>1</v>
      </c>
      <c r="D384" s="78">
        <f>C384*B384</f>
        <v>3500000</v>
      </c>
      <c r="E384" s="105" t="s">
        <v>232</v>
      </c>
    </row>
    <row r="385" spans="1:5" x14ac:dyDescent="0.25">
      <c r="A385" s="82"/>
      <c r="B385" s="83"/>
      <c r="C385" s="83" t="s">
        <v>122</v>
      </c>
      <c r="D385" s="83">
        <f>SUM(D382:D384)</f>
        <v>7796400</v>
      </c>
      <c r="E385" s="100">
        <f>SUM(E382:E384)</f>
        <v>164.1</v>
      </c>
    </row>
    <row r="387" spans="1:5" x14ac:dyDescent="0.25">
      <c r="A387" s="279" t="s">
        <v>484</v>
      </c>
      <c r="B387" s="279"/>
      <c r="C387" s="279"/>
      <c r="D387" s="279"/>
      <c r="E387" s="279"/>
    </row>
    <row r="388" spans="1:5" x14ac:dyDescent="0.25">
      <c r="A388" s="72" t="s">
        <v>92</v>
      </c>
      <c r="B388" s="72" t="s">
        <v>93</v>
      </c>
      <c r="C388" s="71" t="s">
        <v>227</v>
      </c>
      <c r="D388" s="71" t="s">
        <v>228</v>
      </c>
      <c r="E388" s="73" t="s">
        <v>229</v>
      </c>
    </row>
    <row r="389" spans="1:5" x14ac:dyDescent="0.25">
      <c r="A389" s="74" t="s">
        <v>367</v>
      </c>
      <c r="B389" s="75">
        <f>+INSUMOS!B99</f>
        <v>271700</v>
      </c>
      <c r="C389" s="103">
        <v>1</v>
      </c>
      <c r="D389" s="75">
        <f>C389*B389</f>
        <v>271700</v>
      </c>
      <c r="E389" s="102">
        <f>+INSUMOS!E91</f>
        <v>6.8</v>
      </c>
    </row>
    <row r="390" spans="1:5" x14ac:dyDescent="0.25">
      <c r="A390" s="94" t="s">
        <v>485</v>
      </c>
      <c r="B390" s="78">
        <f>+INSUMOS!B60</f>
        <v>1752000</v>
      </c>
      <c r="C390" s="104">
        <v>0.5</v>
      </c>
      <c r="D390" s="78">
        <f>C390*B390</f>
        <v>876000</v>
      </c>
      <c r="E390" s="97">
        <f>+INSUMOS!E60*2</f>
        <v>32.18</v>
      </c>
    </row>
    <row r="391" spans="1:5" x14ac:dyDescent="0.25">
      <c r="A391" s="94" t="s">
        <v>351</v>
      </c>
      <c r="B391" s="78">
        <f>+INSUMOS!B279</f>
        <v>1680000</v>
      </c>
      <c r="C391" s="104">
        <v>1</v>
      </c>
      <c r="D391" s="78">
        <f>C391*B391</f>
        <v>1680000</v>
      </c>
      <c r="E391" s="105" t="s">
        <v>232</v>
      </c>
    </row>
    <row r="392" spans="1:5" x14ac:dyDescent="0.25">
      <c r="A392" s="82"/>
      <c r="B392" s="83"/>
      <c r="C392" s="83"/>
      <c r="D392" s="83">
        <f>SUM(D389:D391)</f>
        <v>2827700</v>
      </c>
      <c r="E392" s="100">
        <f>SUM(E389:E391)</f>
        <v>38.979999999999997</v>
      </c>
    </row>
  </sheetData>
  <mergeCells count="56">
    <mergeCell ref="A387:E387"/>
    <mergeCell ref="A352:E352"/>
    <mergeCell ref="A359:E359"/>
    <mergeCell ref="A366:E366"/>
    <mergeCell ref="A373:E373"/>
    <mergeCell ref="A380:E380"/>
    <mergeCell ref="A317:E317"/>
    <mergeCell ref="A324:E324"/>
    <mergeCell ref="A331:E331"/>
    <mergeCell ref="A338:E338"/>
    <mergeCell ref="A345:E345"/>
    <mergeCell ref="A282:E282"/>
    <mergeCell ref="A289:E289"/>
    <mergeCell ref="A296:E296"/>
    <mergeCell ref="A303:E303"/>
    <mergeCell ref="A310:E310"/>
    <mergeCell ref="A247:E247"/>
    <mergeCell ref="A254:E254"/>
    <mergeCell ref="A261:E261"/>
    <mergeCell ref="A268:E268"/>
    <mergeCell ref="A275:E275"/>
    <mergeCell ref="A212:E212"/>
    <mergeCell ref="A219:E219"/>
    <mergeCell ref="A226:E226"/>
    <mergeCell ref="A233:E233"/>
    <mergeCell ref="A240:E240"/>
    <mergeCell ref="A177:E177"/>
    <mergeCell ref="A184:E184"/>
    <mergeCell ref="A191:E191"/>
    <mergeCell ref="A198:E198"/>
    <mergeCell ref="A205:E205"/>
    <mergeCell ref="A142:E142"/>
    <mergeCell ref="A149:E149"/>
    <mergeCell ref="A156:E156"/>
    <mergeCell ref="A163:E163"/>
    <mergeCell ref="A170:E170"/>
    <mergeCell ref="A107:E107"/>
    <mergeCell ref="A114:E114"/>
    <mergeCell ref="A121:E121"/>
    <mergeCell ref="A128:E128"/>
    <mergeCell ref="A135:E135"/>
    <mergeCell ref="A72:E72"/>
    <mergeCell ref="A79:E79"/>
    <mergeCell ref="A86:E86"/>
    <mergeCell ref="A93:E93"/>
    <mergeCell ref="A100:E100"/>
    <mergeCell ref="A37:E37"/>
    <mergeCell ref="A44:E44"/>
    <mergeCell ref="A51:E51"/>
    <mergeCell ref="A58:E58"/>
    <mergeCell ref="A65:E65"/>
    <mergeCell ref="A1:E1"/>
    <mergeCell ref="A8:E8"/>
    <mergeCell ref="A15:E15"/>
    <mergeCell ref="A22:E22"/>
    <mergeCell ref="A29:E2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8"/>
  <sheetViews>
    <sheetView topLeftCell="A369" zoomScale="85" zoomScaleNormal="85" workbookViewId="0">
      <selection activeCell="G397" sqref="G397"/>
    </sheetView>
  </sheetViews>
  <sheetFormatPr baseColWidth="10" defaultColWidth="9.140625" defaultRowHeight="15" x14ac:dyDescent="0.25"/>
  <cols>
    <col min="1" max="1" width="31" customWidth="1"/>
    <col min="2" max="4" width="12.42578125" customWidth="1"/>
    <col min="5" max="5" width="9.7109375" customWidth="1"/>
    <col min="6" max="6" width="9.140625" customWidth="1"/>
    <col min="7" max="7" width="29.42578125" customWidth="1"/>
    <col min="8" max="8" width="12.85546875" customWidth="1"/>
    <col min="9" max="1025" width="9.140625" customWidth="1"/>
  </cols>
  <sheetData>
    <row r="1" spans="1:5" x14ac:dyDescent="0.25">
      <c r="A1" s="279" t="s">
        <v>486</v>
      </c>
      <c r="B1" s="279"/>
      <c r="C1" s="279"/>
      <c r="D1" s="279"/>
      <c r="E1" s="279"/>
    </row>
    <row r="2" spans="1:5" x14ac:dyDescent="0.25">
      <c r="A2" s="71" t="s">
        <v>92</v>
      </c>
      <c r="B2" s="71" t="s">
        <v>93</v>
      </c>
      <c r="C2" s="71" t="s">
        <v>227</v>
      </c>
      <c r="D2" s="71" t="s">
        <v>228</v>
      </c>
      <c r="E2" s="73" t="s">
        <v>229</v>
      </c>
    </row>
    <row r="3" spans="1:5" x14ac:dyDescent="0.25">
      <c r="A3" s="74" t="s">
        <v>349</v>
      </c>
      <c r="B3" s="75">
        <f>INSUMOS!B73</f>
        <v>148500</v>
      </c>
      <c r="C3" s="103">
        <v>1</v>
      </c>
      <c r="D3" s="75">
        <f>C3*B3</f>
        <v>148500</v>
      </c>
      <c r="E3" s="102">
        <f>INSUMOS!E73</f>
        <v>7</v>
      </c>
    </row>
    <row r="4" spans="1:5" x14ac:dyDescent="0.25">
      <c r="A4" s="94" t="s">
        <v>487</v>
      </c>
      <c r="B4" s="78">
        <f>INSUMOS!B8</f>
        <v>563000</v>
      </c>
      <c r="C4" s="104">
        <v>0.16</v>
      </c>
      <c r="D4" s="78">
        <f>C4*B4</f>
        <v>90080</v>
      </c>
      <c r="E4" s="97">
        <f>0.16*INSUMOS!E8</f>
        <v>10.182793499943314</v>
      </c>
    </row>
    <row r="5" spans="1:5" x14ac:dyDescent="0.25">
      <c r="A5" s="94" t="s">
        <v>488</v>
      </c>
      <c r="B5" s="78">
        <f>INSUMOS!B271</f>
        <v>420000</v>
      </c>
      <c r="C5" s="104">
        <v>1</v>
      </c>
      <c r="D5" s="78">
        <f>C5*B5</f>
        <v>420000</v>
      </c>
      <c r="E5" s="105" t="s">
        <v>232</v>
      </c>
    </row>
    <row r="6" spans="1:5" x14ac:dyDescent="0.25">
      <c r="A6" s="82"/>
      <c r="B6" s="83"/>
      <c r="C6" s="83" t="s">
        <v>122</v>
      </c>
      <c r="D6" s="83">
        <f>SUM(D3:D5)</f>
        <v>658580</v>
      </c>
      <c r="E6" s="100">
        <f>SUM(E3:E5)</f>
        <v>17.182793499943315</v>
      </c>
    </row>
    <row r="8" spans="1:5" x14ac:dyDescent="0.25">
      <c r="A8" s="279" t="s">
        <v>489</v>
      </c>
      <c r="B8" s="279"/>
      <c r="C8" s="279"/>
      <c r="D8" s="279"/>
      <c r="E8" s="279"/>
    </row>
    <row r="9" spans="1:5" x14ac:dyDescent="0.25">
      <c r="A9" s="72" t="s">
        <v>92</v>
      </c>
      <c r="B9" s="72" t="s">
        <v>93</v>
      </c>
      <c r="C9" s="71" t="s">
        <v>227</v>
      </c>
      <c r="D9" s="71" t="s">
        <v>228</v>
      </c>
      <c r="E9" s="73" t="s">
        <v>229</v>
      </c>
    </row>
    <row r="10" spans="1:5" x14ac:dyDescent="0.25">
      <c r="A10" s="74" t="s">
        <v>349</v>
      </c>
      <c r="B10" s="75">
        <f>INSUMOS!B73</f>
        <v>148500</v>
      </c>
      <c r="C10" s="103">
        <v>1</v>
      </c>
      <c r="D10" s="75">
        <f>C10*B10</f>
        <v>148500</v>
      </c>
      <c r="E10" s="102">
        <f>INSUMOS!E73</f>
        <v>7</v>
      </c>
    </row>
    <row r="11" spans="1:5" x14ac:dyDescent="0.25">
      <c r="A11" s="94" t="s">
        <v>490</v>
      </c>
      <c r="B11" s="78">
        <f>INSUMOS!B8</f>
        <v>563000</v>
      </c>
      <c r="C11" s="104">
        <v>0.14000000000000001</v>
      </c>
      <c r="D11" s="78">
        <f>C11*B11</f>
        <v>78820.000000000015</v>
      </c>
      <c r="E11" s="97">
        <f>0.14*INSUMOS!E8</f>
        <v>8.909944312450401</v>
      </c>
    </row>
    <row r="12" spans="1:5" x14ac:dyDescent="0.25">
      <c r="A12" s="94" t="s">
        <v>488</v>
      </c>
      <c r="B12" s="78">
        <f>INSUMOS!B271</f>
        <v>420000</v>
      </c>
      <c r="C12" s="104">
        <v>1</v>
      </c>
      <c r="D12" s="78">
        <f>C12*B12</f>
        <v>420000</v>
      </c>
      <c r="E12" s="105" t="s">
        <v>232</v>
      </c>
    </row>
    <row r="13" spans="1:5" x14ac:dyDescent="0.25">
      <c r="A13" s="82"/>
      <c r="B13" s="83"/>
      <c r="C13" s="83" t="s">
        <v>122</v>
      </c>
      <c r="D13" s="83">
        <f>SUM(D10:D12)</f>
        <v>647320</v>
      </c>
      <c r="E13" s="100">
        <f>SUM(E10:E12)</f>
        <v>15.909944312450401</v>
      </c>
    </row>
    <row r="15" spans="1:5" x14ac:dyDescent="0.25">
      <c r="A15" s="279" t="s">
        <v>491</v>
      </c>
      <c r="B15" s="279"/>
      <c r="C15" s="279"/>
      <c r="D15" s="279"/>
      <c r="E15" s="279"/>
    </row>
    <row r="16" spans="1:5" x14ac:dyDescent="0.25">
      <c r="A16" s="72" t="s">
        <v>92</v>
      </c>
      <c r="B16" s="72" t="s">
        <v>93</v>
      </c>
      <c r="C16" s="71" t="s">
        <v>227</v>
      </c>
      <c r="D16" s="71" t="s">
        <v>228</v>
      </c>
      <c r="E16" s="73" t="s">
        <v>229</v>
      </c>
    </row>
    <row r="17" spans="1:5" x14ac:dyDescent="0.25">
      <c r="A17" s="74" t="s">
        <v>345</v>
      </c>
      <c r="B17" s="75">
        <f>INSUMOS!B72</f>
        <v>98250</v>
      </c>
      <c r="C17" s="103">
        <v>1</v>
      </c>
      <c r="D17" s="75">
        <f>C17*B17</f>
        <v>98250</v>
      </c>
      <c r="E17" s="102">
        <f>INSUMOS!E72</f>
        <v>4.93</v>
      </c>
    </row>
    <row r="18" spans="1:5" x14ac:dyDescent="0.25">
      <c r="A18" s="94" t="s">
        <v>492</v>
      </c>
      <c r="B18" s="78">
        <f>INSUMOS!B7</f>
        <v>461000</v>
      </c>
      <c r="C18" s="104">
        <v>0.13500000000000001</v>
      </c>
      <c r="D18" s="78">
        <f>C18*B18</f>
        <v>62235.000000000007</v>
      </c>
      <c r="E18" s="97">
        <f>0.135*INSUMOS!E7</f>
        <v>4.8328492587621588</v>
      </c>
    </row>
    <row r="19" spans="1:5" x14ac:dyDescent="0.25">
      <c r="A19" s="94" t="s">
        <v>493</v>
      </c>
      <c r="B19" s="78">
        <f>INSUMOS!B270</f>
        <v>395000</v>
      </c>
      <c r="C19" s="104">
        <v>1</v>
      </c>
      <c r="D19" s="78">
        <f>C19*B19</f>
        <v>395000</v>
      </c>
      <c r="E19" s="105" t="s">
        <v>232</v>
      </c>
    </row>
    <row r="20" spans="1:5" x14ac:dyDescent="0.25">
      <c r="A20" s="82"/>
      <c r="B20" s="83"/>
      <c r="C20" s="83" t="s">
        <v>122</v>
      </c>
      <c r="D20" s="83">
        <f>SUM(D17:D19)</f>
        <v>555485</v>
      </c>
      <c r="E20" s="100">
        <f>SUM(E17:E19)</f>
        <v>9.7628492587621594</v>
      </c>
    </row>
    <row r="22" spans="1:5" x14ac:dyDescent="0.25">
      <c r="A22" s="279" t="s">
        <v>494</v>
      </c>
      <c r="B22" s="279"/>
      <c r="C22" s="279"/>
      <c r="D22" s="279"/>
      <c r="E22" s="279"/>
    </row>
    <row r="23" spans="1:5" x14ac:dyDescent="0.25">
      <c r="A23" s="72" t="s">
        <v>92</v>
      </c>
      <c r="B23" s="72" t="s">
        <v>93</v>
      </c>
      <c r="C23" s="71" t="s">
        <v>227</v>
      </c>
      <c r="D23" s="71" t="s">
        <v>228</v>
      </c>
      <c r="E23" s="73" t="s">
        <v>229</v>
      </c>
    </row>
    <row r="24" spans="1:5" x14ac:dyDescent="0.25">
      <c r="A24" s="74" t="s">
        <v>345</v>
      </c>
      <c r="B24" s="75">
        <f>INSUMOS!B72</f>
        <v>98250</v>
      </c>
      <c r="C24" s="103">
        <v>1</v>
      </c>
      <c r="D24" s="75">
        <f>C24*B24</f>
        <v>98250</v>
      </c>
      <c r="E24" s="102">
        <f>INSUMOS!E72</f>
        <v>4.93</v>
      </c>
    </row>
    <row r="25" spans="1:5" x14ac:dyDescent="0.25">
      <c r="A25" s="94" t="s">
        <v>495</v>
      </c>
      <c r="B25" s="78">
        <f>INSUMOS!B7</f>
        <v>461000</v>
      </c>
      <c r="C25" s="104">
        <v>0.115</v>
      </c>
      <c r="D25" s="78">
        <f>C25*B25</f>
        <v>53015</v>
      </c>
      <c r="E25" s="97">
        <f>0.115*INSUMOS!E7</f>
        <v>4.1168715907973947</v>
      </c>
    </row>
    <row r="26" spans="1:5" x14ac:dyDescent="0.25">
      <c r="A26" s="94" t="s">
        <v>493</v>
      </c>
      <c r="B26" s="78">
        <f>INSUMOS!B270</f>
        <v>395000</v>
      </c>
      <c r="C26" s="104">
        <v>1</v>
      </c>
      <c r="D26" s="78">
        <f>C26*B26</f>
        <v>395000</v>
      </c>
      <c r="E26" s="106" t="s">
        <v>232</v>
      </c>
    </row>
    <row r="27" spans="1:5" x14ac:dyDescent="0.25">
      <c r="A27" s="82"/>
      <c r="B27" s="83"/>
      <c r="C27" s="83" t="s">
        <v>122</v>
      </c>
      <c r="D27" s="83">
        <f>SUM(D24:D26)</f>
        <v>546265</v>
      </c>
      <c r="E27" s="100">
        <f>SUM(E24:E26)</f>
        <v>9.0468715907973944</v>
      </c>
    </row>
    <row r="29" spans="1:5" x14ac:dyDescent="0.25">
      <c r="A29" s="279" t="s">
        <v>496</v>
      </c>
      <c r="B29" s="279"/>
      <c r="C29" s="279"/>
      <c r="D29" s="279"/>
      <c r="E29" s="279"/>
    </row>
    <row r="30" spans="1:5" x14ac:dyDescent="0.25">
      <c r="A30" s="72" t="s">
        <v>92</v>
      </c>
      <c r="B30" s="72" t="s">
        <v>93</v>
      </c>
      <c r="C30" s="71" t="s">
        <v>227</v>
      </c>
      <c r="D30" s="71" t="s">
        <v>228</v>
      </c>
      <c r="E30" s="73" t="s">
        <v>229</v>
      </c>
    </row>
    <row r="31" spans="1:5" x14ac:dyDescent="0.25">
      <c r="A31" s="74" t="s">
        <v>355</v>
      </c>
      <c r="B31" s="75">
        <f>INSUMOS!B103</f>
        <v>62500</v>
      </c>
      <c r="C31" s="103">
        <v>1</v>
      </c>
      <c r="D31" s="75">
        <f>C31*B31</f>
        <v>62500</v>
      </c>
      <c r="E31" s="102">
        <f>INSUMOS!E103</f>
        <v>11.3</v>
      </c>
    </row>
    <row r="32" spans="1:5" x14ac:dyDescent="0.25">
      <c r="A32" s="77" t="s">
        <v>497</v>
      </c>
      <c r="B32" s="78">
        <f>INSUMOS!B9</f>
        <v>1267000</v>
      </c>
      <c r="C32" s="104">
        <v>0.17</v>
      </c>
      <c r="D32" s="78">
        <f>C32*B32</f>
        <v>215390.00000000003</v>
      </c>
      <c r="E32" s="97">
        <f>INSUMOS!E30*0.17</f>
        <v>24.343240710801986</v>
      </c>
    </row>
    <row r="33" spans="1:5" x14ac:dyDescent="0.25">
      <c r="A33" s="77" t="s">
        <v>498</v>
      </c>
      <c r="B33" s="78">
        <f>INSUMOS!B272</f>
        <v>1305000</v>
      </c>
      <c r="C33" s="104">
        <v>1</v>
      </c>
      <c r="D33" s="78">
        <f>C33*B33</f>
        <v>1305000</v>
      </c>
      <c r="E33" s="106"/>
    </row>
    <row r="34" spans="1:5" x14ac:dyDescent="0.25">
      <c r="A34" s="82"/>
      <c r="B34" s="83"/>
      <c r="C34" s="83" t="s">
        <v>122</v>
      </c>
      <c r="D34" s="83">
        <f>SUM(D31:D33)</f>
        <v>1582890</v>
      </c>
      <c r="E34" s="100">
        <f>SUM(E31:E33)</f>
        <v>35.64324071080199</v>
      </c>
    </row>
    <row r="36" spans="1:5" x14ac:dyDescent="0.25">
      <c r="A36" s="279" t="s">
        <v>499</v>
      </c>
      <c r="B36" s="279"/>
      <c r="C36" s="279"/>
      <c r="D36" s="279"/>
      <c r="E36" s="279"/>
    </row>
    <row r="37" spans="1:5" x14ac:dyDescent="0.25">
      <c r="A37" s="72" t="s">
        <v>92</v>
      </c>
      <c r="B37" s="72" t="s">
        <v>93</v>
      </c>
      <c r="C37" s="71" t="s">
        <v>227</v>
      </c>
      <c r="D37" s="71" t="s">
        <v>228</v>
      </c>
      <c r="E37" s="73" t="s">
        <v>229</v>
      </c>
    </row>
    <row r="38" spans="1:5" x14ac:dyDescent="0.25">
      <c r="A38" s="74" t="s">
        <v>345</v>
      </c>
      <c r="B38" s="75">
        <f>INSUMOS!B80</f>
        <v>78000</v>
      </c>
      <c r="C38" s="103">
        <v>1</v>
      </c>
      <c r="D38" s="75">
        <f>C38*B38</f>
        <v>78000</v>
      </c>
      <c r="E38" s="102">
        <f>INSUMOS!E72</f>
        <v>4.93</v>
      </c>
    </row>
    <row r="39" spans="1:5" x14ac:dyDescent="0.25">
      <c r="A39" s="94" t="s">
        <v>495</v>
      </c>
      <c r="B39" s="78">
        <f>INSUMOS!B7</f>
        <v>461000</v>
      </c>
      <c r="C39" s="104">
        <v>0.17</v>
      </c>
      <c r="D39" s="78">
        <f>C39*B39</f>
        <v>78370</v>
      </c>
      <c r="E39" s="97">
        <f>0.12*INSUMOS!E7</f>
        <v>4.2958660077885851</v>
      </c>
    </row>
    <row r="40" spans="1:5" x14ac:dyDescent="0.25">
      <c r="A40" s="94" t="s">
        <v>493</v>
      </c>
      <c r="B40" s="78">
        <f>INSUMOS!B270</f>
        <v>395000</v>
      </c>
      <c r="C40" s="104">
        <v>1</v>
      </c>
      <c r="D40" s="78">
        <f>C40*B40</f>
        <v>395000</v>
      </c>
      <c r="E40" s="106" t="s">
        <v>232</v>
      </c>
    </row>
    <row r="41" spans="1:5" x14ac:dyDescent="0.25">
      <c r="A41" s="82"/>
      <c r="B41" s="83"/>
      <c r="C41" s="83" t="s">
        <v>122</v>
      </c>
      <c r="D41" s="83">
        <f>SUM(D38:D40)</f>
        <v>551370</v>
      </c>
      <c r="E41" s="100">
        <f>SUM(E38:E40)</f>
        <v>9.2258660077885857</v>
      </c>
    </row>
    <row r="43" spans="1:5" x14ac:dyDescent="0.25">
      <c r="A43" s="279" t="s">
        <v>500</v>
      </c>
      <c r="B43" s="279"/>
      <c r="C43" s="279"/>
      <c r="D43" s="279"/>
      <c r="E43" s="279"/>
    </row>
    <row r="44" spans="1:5" x14ac:dyDescent="0.25">
      <c r="A44" s="72" t="s">
        <v>92</v>
      </c>
      <c r="B44" s="72" t="s">
        <v>93</v>
      </c>
      <c r="C44" s="71" t="s">
        <v>227</v>
      </c>
      <c r="D44" s="71" t="s">
        <v>228</v>
      </c>
      <c r="E44" s="73" t="s">
        <v>229</v>
      </c>
    </row>
    <row r="45" spans="1:5" x14ac:dyDescent="0.25">
      <c r="A45" s="74" t="s">
        <v>501</v>
      </c>
      <c r="B45" s="75">
        <f>INSUMOS!B71</f>
        <v>80000</v>
      </c>
      <c r="C45" s="103">
        <v>1</v>
      </c>
      <c r="D45" s="75">
        <f>C45*B45</f>
        <v>80000</v>
      </c>
      <c r="E45" s="102">
        <f>INSUMOS!E79</f>
        <v>3.28</v>
      </c>
    </row>
    <row r="46" spans="1:5" x14ac:dyDescent="0.25">
      <c r="A46" s="94" t="s">
        <v>495</v>
      </c>
      <c r="B46" s="78">
        <f>INSUMOS!B7</f>
        <v>461000</v>
      </c>
      <c r="C46" s="104">
        <v>0.17</v>
      </c>
      <c r="D46" s="78">
        <f>C46*B46</f>
        <v>78370</v>
      </c>
      <c r="E46" s="97">
        <f>0.11*INSUMOS!E7</f>
        <v>3.9378771738062031</v>
      </c>
    </row>
    <row r="47" spans="1:5" x14ac:dyDescent="0.25">
      <c r="A47" s="94" t="s">
        <v>502</v>
      </c>
      <c r="B47" s="78">
        <f>INSUMOS!B269</f>
        <v>300000</v>
      </c>
      <c r="C47" s="104">
        <v>1</v>
      </c>
      <c r="D47" s="78">
        <f>C47*B47</f>
        <v>300000</v>
      </c>
      <c r="E47" s="106"/>
    </row>
    <row r="48" spans="1:5" x14ac:dyDescent="0.25">
      <c r="A48" s="82"/>
      <c r="B48" s="83"/>
      <c r="C48" s="83" t="s">
        <v>122</v>
      </c>
      <c r="D48" s="83">
        <f>SUM(D45:D47)</f>
        <v>458370</v>
      </c>
      <c r="E48" s="100">
        <f>SUM(E45:E47)</f>
        <v>7.2178771738062029</v>
      </c>
    </row>
    <row r="50" spans="1:5" x14ac:dyDescent="0.25">
      <c r="A50" s="279" t="s">
        <v>503</v>
      </c>
      <c r="B50" s="279"/>
      <c r="C50" s="279"/>
      <c r="D50" s="279"/>
      <c r="E50" s="279"/>
    </row>
    <row r="51" spans="1:5" x14ac:dyDescent="0.25">
      <c r="A51" s="72" t="s">
        <v>92</v>
      </c>
      <c r="B51" s="72" t="s">
        <v>93</v>
      </c>
      <c r="C51" s="71" t="s">
        <v>227</v>
      </c>
      <c r="D51" s="71" t="s">
        <v>228</v>
      </c>
      <c r="E51" s="73" t="s">
        <v>229</v>
      </c>
    </row>
    <row r="52" spans="1:5" x14ac:dyDescent="0.25">
      <c r="A52" s="74" t="s">
        <v>367</v>
      </c>
      <c r="B52" s="75">
        <f>INSUMOS!B91</f>
        <v>325600</v>
      </c>
      <c r="C52" s="103">
        <v>1</v>
      </c>
      <c r="D52" s="75">
        <f>C52*B52</f>
        <v>325600</v>
      </c>
      <c r="E52" s="102">
        <f>INSUMOS!E60</f>
        <v>16.09</v>
      </c>
    </row>
    <row r="53" spans="1:5" x14ac:dyDescent="0.25">
      <c r="A53" s="77" t="s">
        <v>504</v>
      </c>
      <c r="B53" s="78">
        <f>INSUMOS!B21</f>
        <v>720000</v>
      </c>
      <c r="C53" s="104">
        <v>0.14000000000000001</v>
      </c>
      <c r="D53" s="78">
        <f>C53*B53</f>
        <v>100800.00000000001</v>
      </c>
      <c r="E53" s="97">
        <f>0.16*INSUMOS!E21</f>
        <v>10.182793499943314</v>
      </c>
    </row>
    <row r="54" spans="1:5" x14ac:dyDescent="0.25">
      <c r="A54" s="77" t="s">
        <v>488</v>
      </c>
      <c r="B54" s="78">
        <f>INSUMOS!B271</f>
        <v>420000</v>
      </c>
      <c r="C54" s="104">
        <v>1</v>
      </c>
      <c r="D54" s="78">
        <f>C54*B54</f>
        <v>420000</v>
      </c>
      <c r="E54" s="105" t="s">
        <v>232</v>
      </c>
    </row>
    <row r="55" spans="1:5" x14ac:dyDescent="0.25">
      <c r="A55" s="82"/>
      <c r="B55" s="83"/>
      <c r="C55" s="83" t="s">
        <v>122</v>
      </c>
      <c r="D55" s="83">
        <f>SUM(D52:D54)</f>
        <v>846400</v>
      </c>
      <c r="E55" s="100">
        <f>SUM(E52:E54)</f>
        <v>26.272793499943312</v>
      </c>
    </row>
    <row r="57" spans="1:5" x14ac:dyDescent="0.25">
      <c r="A57" s="279" t="s">
        <v>505</v>
      </c>
      <c r="B57" s="279"/>
      <c r="C57" s="279"/>
      <c r="D57" s="279"/>
      <c r="E57" s="279"/>
    </row>
    <row r="58" spans="1:5" x14ac:dyDescent="0.25">
      <c r="A58" s="72" t="s">
        <v>92</v>
      </c>
      <c r="B58" s="72" t="s">
        <v>93</v>
      </c>
      <c r="C58" s="71" t="s">
        <v>227</v>
      </c>
      <c r="D58" s="71" t="s">
        <v>228</v>
      </c>
      <c r="E58" s="73" t="s">
        <v>229</v>
      </c>
    </row>
    <row r="59" spans="1:5" x14ac:dyDescent="0.25">
      <c r="A59" s="74" t="s">
        <v>370</v>
      </c>
      <c r="B59" s="75">
        <f>INSUMOS!B93</f>
        <v>480000</v>
      </c>
      <c r="C59" s="103">
        <v>1</v>
      </c>
      <c r="D59" s="75">
        <f>C59*B59</f>
        <v>480000</v>
      </c>
      <c r="E59" s="102">
        <f>INSUMOS!E93</f>
        <v>15</v>
      </c>
    </row>
    <row r="60" spans="1:5" x14ac:dyDescent="0.25">
      <c r="A60" s="77" t="s">
        <v>506</v>
      </c>
      <c r="B60" s="78">
        <f>INSUMOS!B23</f>
        <v>3594500</v>
      </c>
      <c r="C60" s="104">
        <v>0.25</v>
      </c>
      <c r="D60" s="78">
        <f>C60*B60</f>
        <v>898625</v>
      </c>
      <c r="E60" s="97">
        <f>0.25*INSUMOS!E23</f>
        <v>63.642459374645711</v>
      </c>
    </row>
    <row r="61" spans="1:5" x14ac:dyDescent="0.25">
      <c r="A61" s="77" t="s">
        <v>507</v>
      </c>
      <c r="B61" s="78">
        <f>INSUMOS!B273</f>
        <v>1600000</v>
      </c>
      <c r="C61" s="104">
        <v>1</v>
      </c>
      <c r="D61" s="78">
        <f>C61*B61</f>
        <v>1600000</v>
      </c>
      <c r="E61" s="105" t="s">
        <v>232</v>
      </c>
    </row>
    <row r="62" spans="1:5" x14ac:dyDescent="0.25">
      <c r="A62" s="82"/>
      <c r="B62" s="83"/>
      <c r="C62" s="83" t="s">
        <v>122</v>
      </c>
      <c r="D62" s="83">
        <f>SUM(D59:D61)</f>
        <v>2978625</v>
      </c>
      <c r="E62" s="100">
        <f>SUM(E59:E61)</f>
        <v>78.642459374645711</v>
      </c>
    </row>
    <row r="64" spans="1:5" x14ac:dyDescent="0.25">
      <c r="A64" s="279" t="s">
        <v>508</v>
      </c>
      <c r="B64" s="279"/>
      <c r="C64" s="279"/>
      <c r="D64" s="279"/>
      <c r="E64" s="279"/>
    </row>
    <row r="65" spans="1:5" x14ac:dyDescent="0.25">
      <c r="A65" s="72" t="s">
        <v>92</v>
      </c>
      <c r="B65" s="72" t="s">
        <v>93</v>
      </c>
      <c r="C65" s="71" t="s">
        <v>227</v>
      </c>
      <c r="D65" s="71" t="s">
        <v>228</v>
      </c>
      <c r="E65" s="73" t="s">
        <v>229</v>
      </c>
    </row>
    <row r="66" spans="1:5" x14ac:dyDescent="0.25">
      <c r="A66" s="74" t="s">
        <v>501</v>
      </c>
      <c r="B66" s="75">
        <f>INSUMOS!B71</f>
        <v>80000</v>
      </c>
      <c r="C66" s="103">
        <v>1</v>
      </c>
      <c r="D66" s="75">
        <f>C66*B66</f>
        <v>80000</v>
      </c>
      <c r="E66" s="102">
        <f>INSUMOS!E71</f>
        <v>3</v>
      </c>
    </row>
    <row r="67" spans="1:5" x14ac:dyDescent="0.25">
      <c r="A67" s="94" t="s">
        <v>509</v>
      </c>
      <c r="B67" s="78">
        <f>INSUMOS!B7</f>
        <v>461000</v>
      </c>
      <c r="C67" s="104">
        <v>0.11</v>
      </c>
      <c r="D67" s="78">
        <f>C67*B67</f>
        <v>50710</v>
      </c>
      <c r="E67" s="97">
        <f>C67*INSUMOS!E7</f>
        <v>3.9378771738062031</v>
      </c>
    </row>
    <row r="68" spans="1:5" x14ac:dyDescent="0.25">
      <c r="A68" s="94" t="s">
        <v>502</v>
      </c>
      <c r="B68" s="78">
        <f>INSUMOS!B269</f>
        <v>300000</v>
      </c>
      <c r="C68" s="104">
        <v>1</v>
      </c>
      <c r="D68" s="78">
        <f>C68*B68</f>
        <v>300000</v>
      </c>
      <c r="E68" s="106"/>
    </row>
    <row r="69" spans="1:5" x14ac:dyDescent="0.25">
      <c r="A69" s="82"/>
      <c r="B69" s="83"/>
      <c r="C69" s="83" t="s">
        <v>122</v>
      </c>
      <c r="D69" s="83">
        <f>SUM(D66:D68)</f>
        <v>430710</v>
      </c>
      <c r="E69" s="100">
        <f>SUM(E66:E68)</f>
        <v>6.9378771738062035</v>
      </c>
    </row>
    <row r="71" spans="1:5" x14ac:dyDescent="0.25">
      <c r="A71" s="279" t="s">
        <v>510</v>
      </c>
      <c r="B71" s="279"/>
      <c r="C71" s="279"/>
      <c r="D71" s="279"/>
      <c r="E71" s="279"/>
    </row>
    <row r="72" spans="1:5" x14ac:dyDescent="0.25">
      <c r="A72" s="72" t="s">
        <v>92</v>
      </c>
      <c r="B72" s="72" t="s">
        <v>93</v>
      </c>
      <c r="C72" s="71" t="s">
        <v>227</v>
      </c>
      <c r="D72" s="71" t="s">
        <v>228</v>
      </c>
      <c r="E72" s="73" t="s">
        <v>229</v>
      </c>
    </row>
    <row r="73" spans="1:5" x14ac:dyDescent="0.25">
      <c r="A73" s="74" t="s">
        <v>376</v>
      </c>
      <c r="B73" s="75">
        <f>INSUMOS!B92</f>
        <v>330000</v>
      </c>
      <c r="C73" s="103">
        <v>1</v>
      </c>
      <c r="D73" s="75">
        <f>C73*B73</f>
        <v>330000</v>
      </c>
      <c r="E73" s="102">
        <f>INSUMOS!E92</f>
        <v>11.3</v>
      </c>
    </row>
    <row r="74" spans="1:5" x14ac:dyDescent="0.25">
      <c r="A74" s="77" t="s">
        <v>511</v>
      </c>
      <c r="B74" s="78">
        <f>INSUMOS!B22</f>
        <v>1944000</v>
      </c>
      <c r="C74" s="104">
        <v>0.22</v>
      </c>
      <c r="D74" s="78">
        <f>C74*B74</f>
        <v>427680</v>
      </c>
      <c r="E74" s="97">
        <f>0.22*INSUMOS!E9</f>
        <v>31.503017390449624</v>
      </c>
    </row>
    <row r="75" spans="1:5" x14ac:dyDescent="0.25">
      <c r="A75" s="77" t="s">
        <v>498</v>
      </c>
      <c r="B75" s="78">
        <f>INSUMOS!B272</f>
        <v>1305000</v>
      </c>
      <c r="C75" s="104">
        <v>1</v>
      </c>
      <c r="D75" s="78">
        <f>C75*B75</f>
        <v>1305000</v>
      </c>
      <c r="E75" s="105" t="s">
        <v>232</v>
      </c>
    </row>
    <row r="76" spans="1:5" x14ac:dyDescent="0.25">
      <c r="A76" s="82"/>
      <c r="B76" s="83"/>
      <c r="C76" s="83" t="s">
        <v>122</v>
      </c>
      <c r="D76" s="83">
        <f>SUM(D73:D75)</f>
        <v>2062680</v>
      </c>
      <c r="E76" s="100">
        <f>SUM(E73:E75)</f>
        <v>42.803017390449625</v>
      </c>
    </row>
    <row r="78" spans="1:5" x14ac:dyDescent="0.25">
      <c r="A78" s="279" t="s">
        <v>512</v>
      </c>
      <c r="B78" s="279"/>
      <c r="C78" s="279"/>
      <c r="D78" s="279"/>
      <c r="E78" s="279"/>
    </row>
    <row r="79" spans="1:5" x14ac:dyDescent="0.25">
      <c r="A79" s="72" t="s">
        <v>92</v>
      </c>
      <c r="B79" s="72" t="s">
        <v>93</v>
      </c>
      <c r="C79" s="71" t="s">
        <v>227</v>
      </c>
      <c r="D79" s="71" t="s">
        <v>228</v>
      </c>
      <c r="E79" s="73" t="s">
        <v>229</v>
      </c>
    </row>
    <row r="80" spans="1:5" x14ac:dyDescent="0.25">
      <c r="A80" s="74" t="s">
        <v>379</v>
      </c>
      <c r="B80" s="75">
        <f>INSUMOS!B74</f>
        <v>212000</v>
      </c>
      <c r="C80" s="103">
        <v>1</v>
      </c>
      <c r="D80" s="75">
        <f>C80*B80</f>
        <v>212000</v>
      </c>
      <c r="E80" s="102">
        <f>INSUMOS!E103</f>
        <v>11.3</v>
      </c>
    </row>
    <row r="81" spans="1:5" x14ac:dyDescent="0.25">
      <c r="A81" s="77" t="s">
        <v>513</v>
      </c>
      <c r="B81" s="78">
        <f>INSUMOS!B9</f>
        <v>1267000</v>
      </c>
      <c r="C81" s="104">
        <v>0.22</v>
      </c>
      <c r="D81" s="78">
        <f>C81*B81</f>
        <v>278740</v>
      </c>
      <c r="E81" s="97">
        <f>0.22*INSUMOS!E22</f>
        <v>31.503999999999998</v>
      </c>
    </row>
    <row r="82" spans="1:5" x14ac:dyDescent="0.25">
      <c r="A82" s="77" t="s">
        <v>498</v>
      </c>
      <c r="B82" s="78">
        <f>INSUMOS!B272</f>
        <v>1305000</v>
      </c>
      <c r="C82" s="104">
        <v>1</v>
      </c>
      <c r="D82" s="78">
        <f>C82*B82</f>
        <v>1305000</v>
      </c>
      <c r="E82" s="105" t="s">
        <v>232</v>
      </c>
    </row>
    <row r="83" spans="1:5" x14ac:dyDescent="0.25">
      <c r="A83" s="82"/>
      <c r="B83" s="83"/>
      <c r="C83" s="83" t="s">
        <v>122</v>
      </c>
      <c r="D83" s="83">
        <f>SUM(D80:D82)</f>
        <v>1795740</v>
      </c>
      <c r="E83" s="100">
        <f>SUM(E80:E82)</f>
        <v>42.804000000000002</v>
      </c>
    </row>
    <row r="85" spans="1:5" x14ac:dyDescent="0.25">
      <c r="A85" s="279" t="s">
        <v>514</v>
      </c>
      <c r="B85" s="279"/>
      <c r="C85" s="279"/>
      <c r="D85" s="279"/>
      <c r="E85" s="279"/>
    </row>
    <row r="86" spans="1:5" x14ac:dyDescent="0.25">
      <c r="A86" s="72" t="s">
        <v>92</v>
      </c>
      <c r="B86" s="72" t="s">
        <v>93</v>
      </c>
      <c r="C86" s="71" t="s">
        <v>227</v>
      </c>
      <c r="D86" s="71" t="s">
        <v>228</v>
      </c>
      <c r="E86" s="73" t="s">
        <v>229</v>
      </c>
    </row>
    <row r="87" spans="1:5" x14ac:dyDescent="0.25">
      <c r="A87" s="74" t="s">
        <v>367</v>
      </c>
      <c r="B87" s="75">
        <f>INSUMOS!B91</f>
        <v>325600</v>
      </c>
      <c r="C87" s="103">
        <v>1</v>
      </c>
      <c r="D87" s="75">
        <f>C87*B87</f>
        <v>325600</v>
      </c>
      <c r="E87" s="102">
        <f>INSUMOS!E91</f>
        <v>6.8</v>
      </c>
    </row>
    <row r="88" spans="1:5" x14ac:dyDescent="0.25">
      <c r="A88" s="77" t="s">
        <v>515</v>
      </c>
      <c r="B88" s="78">
        <f>INSUMOS!B21</f>
        <v>720000</v>
      </c>
      <c r="C88" s="104">
        <v>0.12</v>
      </c>
      <c r="D88" s="78">
        <f>C88*B88</f>
        <v>86400</v>
      </c>
      <c r="E88" s="97">
        <f>C88*INSUMOS!E21</f>
        <v>7.6370951249574848</v>
      </c>
    </row>
    <row r="89" spans="1:5" x14ac:dyDescent="0.25">
      <c r="A89" s="77" t="s">
        <v>488</v>
      </c>
      <c r="B89" s="78">
        <f>INSUMOS!B271</f>
        <v>420000</v>
      </c>
      <c r="C89" s="104">
        <v>1</v>
      </c>
      <c r="D89" s="78">
        <f>C89*B89</f>
        <v>420000</v>
      </c>
      <c r="E89" s="105" t="s">
        <v>232</v>
      </c>
    </row>
    <row r="90" spans="1:5" x14ac:dyDescent="0.25">
      <c r="A90" s="82"/>
      <c r="B90" s="83"/>
      <c r="C90" s="83" t="s">
        <v>122</v>
      </c>
      <c r="D90" s="83">
        <f>SUM(D87:D89)</f>
        <v>832000</v>
      </c>
      <c r="E90" s="100">
        <f>SUM(E87:E89)</f>
        <v>14.437095124957484</v>
      </c>
    </row>
    <row r="92" spans="1:5" x14ac:dyDescent="0.25">
      <c r="A92" s="279" t="s">
        <v>516</v>
      </c>
      <c r="B92" s="279"/>
      <c r="C92" s="279"/>
      <c r="D92" s="279"/>
      <c r="E92" s="279"/>
    </row>
    <row r="93" spans="1:5" x14ac:dyDescent="0.25">
      <c r="A93" s="72" t="s">
        <v>92</v>
      </c>
      <c r="B93" s="72" t="s">
        <v>93</v>
      </c>
      <c r="C93" s="71" t="s">
        <v>227</v>
      </c>
      <c r="D93" s="71" t="s">
        <v>228</v>
      </c>
      <c r="E93" s="73" t="s">
        <v>229</v>
      </c>
    </row>
    <row r="94" spans="1:5" x14ac:dyDescent="0.25">
      <c r="A94" s="74" t="s">
        <v>421</v>
      </c>
      <c r="B94" s="75">
        <f>INSUMOS!B78</f>
        <v>75000</v>
      </c>
      <c r="C94" s="103">
        <v>1</v>
      </c>
      <c r="D94" s="75">
        <f>C94*B94</f>
        <v>75000</v>
      </c>
      <c r="E94" s="102">
        <f>INSUMOS!E78</f>
        <v>3</v>
      </c>
    </row>
    <row r="95" spans="1:5" x14ac:dyDescent="0.25">
      <c r="A95" s="94" t="s">
        <v>517</v>
      </c>
      <c r="B95" s="78">
        <f>INSUMOS!B5</f>
        <v>154000</v>
      </c>
      <c r="C95" s="104">
        <v>0.1</v>
      </c>
      <c r="D95" s="78">
        <f>C95*B95</f>
        <v>15400</v>
      </c>
      <c r="E95" s="97">
        <f>C95*INSUMOS!E16</f>
        <v>1.5910614843661428</v>
      </c>
    </row>
    <row r="96" spans="1:5" x14ac:dyDescent="0.25">
      <c r="A96" s="94" t="s">
        <v>518</v>
      </c>
      <c r="B96" s="78">
        <f>INSUMOS!B268</f>
        <v>250000</v>
      </c>
      <c r="C96" s="104">
        <v>1</v>
      </c>
      <c r="D96" s="78">
        <f>C96*B96</f>
        <v>250000</v>
      </c>
      <c r="E96" s="106"/>
    </row>
    <row r="97" spans="1:5" x14ac:dyDescent="0.25">
      <c r="A97" s="82"/>
      <c r="B97" s="83"/>
      <c r="C97" s="83" t="s">
        <v>122</v>
      </c>
      <c r="D97" s="83">
        <f>SUM(D94:D96)</f>
        <v>340400</v>
      </c>
      <c r="E97" s="100">
        <f>SUM(E94:E96)</f>
        <v>4.5910614843661426</v>
      </c>
    </row>
    <row r="99" spans="1:5" x14ac:dyDescent="0.25">
      <c r="A99" s="279" t="s">
        <v>519</v>
      </c>
      <c r="B99" s="279"/>
      <c r="C99" s="279"/>
      <c r="D99" s="279"/>
      <c r="E99" s="279"/>
    </row>
    <row r="100" spans="1:5" x14ac:dyDescent="0.25">
      <c r="A100" s="72" t="s">
        <v>92</v>
      </c>
      <c r="B100" s="72" t="s">
        <v>93</v>
      </c>
      <c r="C100" s="71" t="s">
        <v>227</v>
      </c>
      <c r="D100" s="71" t="s">
        <v>228</v>
      </c>
      <c r="E100" s="73" t="s">
        <v>229</v>
      </c>
    </row>
    <row r="101" spans="1:5" x14ac:dyDescent="0.25">
      <c r="A101" s="74" t="s">
        <v>376</v>
      </c>
      <c r="B101" s="75">
        <f>INSUMOS!B92</f>
        <v>330000</v>
      </c>
      <c r="C101" s="103">
        <v>1</v>
      </c>
      <c r="D101" s="75">
        <f>C101*B101</f>
        <v>330000</v>
      </c>
      <c r="E101" s="102">
        <f>INSUMOS!E92</f>
        <v>11.3</v>
      </c>
    </row>
    <row r="102" spans="1:5" x14ac:dyDescent="0.25">
      <c r="A102" s="77" t="s">
        <v>520</v>
      </c>
      <c r="B102" s="78">
        <f>INSUMOS!B22</f>
        <v>1944000</v>
      </c>
      <c r="C102" s="104">
        <v>0.22</v>
      </c>
      <c r="D102" s="78">
        <f>C102*B102</f>
        <v>427680</v>
      </c>
      <c r="E102" s="97">
        <f>C102*INSUMOS!E22</f>
        <v>31.503999999999998</v>
      </c>
    </row>
    <row r="103" spans="1:5" x14ac:dyDescent="0.25">
      <c r="A103" s="77" t="s">
        <v>498</v>
      </c>
      <c r="B103" s="78">
        <f>INSUMOS!B272</f>
        <v>1305000</v>
      </c>
      <c r="C103" s="104">
        <v>1</v>
      </c>
      <c r="D103" s="78">
        <f>C103*B103</f>
        <v>1305000</v>
      </c>
      <c r="E103" s="105" t="s">
        <v>232</v>
      </c>
    </row>
    <row r="104" spans="1:5" x14ac:dyDescent="0.25">
      <c r="A104" s="82"/>
      <c r="B104" s="83"/>
      <c r="C104" s="83" t="s">
        <v>122</v>
      </c>
      <c r="D104" s="83">
        <f>SUM(D101:D103)</f>
        <v>2062680</v>
      </c>
      <c r="E104" s="100">
        <f>SUM(E101:E103)</f>
        <v>42.804000000000002</v>
      </c>
    </row>
    <row r="106" spans="1:5" x14ac:dyDescent="0.25">
      <c r="A106" s="279" t="s">
        <v>521</v>
      </c>
      <c r="B106" s="279"/>
      <c r="C106" s="279"/>
      <c r="D106" s="279"/>
      <c r="E106" s="279"/>
    </row>
    <row r="107" spans="1:5" x14ac:dyDescent="0.25">
      <c r="A107" s="72" t="s">
        <v>92</v>
      </c>
      <c r="B107" s="72" t="s">
        <v>93</v>
      </c>
      <c r="C107" s="71" t="s">
        <v>227</v>
      </c>
      <c r="D107" s="71" t="s">
        <v>228</v>
      </c>
      <c r="E107" s="73" t="s">
        <v>229</v>
      </c>
    </row>
    <row r="108" spans="1:5" x14ac:dyDescent="0.25">
      <c r="A108" s="74" t="s">
        <v>391</v>
      </c>
      <c r="B108" s="75">
        <f>INSUMOS!B75</f>
        <v>310000</v>
      </c>
      <c r="C108" s="103">
        <v>1</v>
      </c>
      <c r="D108" s="75">
        <f>C108*B108</f>
        <v>310000</v>
      </c>
      <c r="E108" s="102">
        <f>INSUMOS!E75</f>
        <v>19.600000000000001</v>
      </c>
    </row>
    <row r="109" spans="1:5" x14ac:dyDescent="0.25">
      <c r="A109" s="77" t="s">
        <v>522</v>
      </c>
      <c r="B109" s="78">
        <f>INSUMOS!B10</f>
        <v>2765000</v>
      </c>
      <c r="C109" s="104">
        <v>0.35</v>
      </c>
      <c r="D109" s="78">
        <f>C109*B109</f>
        <v>967749.99999999988</v>
      </c>
      <c r="E109" s="97">
        <f>C109*INSUMOS!E10</f>
        <v>89.099443124503992</v>
      </c>
    </row>
    <row r="110" spans="1:5" x14ac:dyDescent="0.25">
      <c r="A110" s="77" t="s">
        <v>507</v>
      </c>
      <c r="B110" s="78">
        <f>INSUMOS!B273</f>
        <v>1600000</v>
      </c>
      <c r="C110" s="104">
        <v>1</v>
      </c>
      <c r="D110" s="78">
        <f>C110*B110</f>
        <v>1600000</v>
      </c>
      <c r="E110" s="105" t="s">
        <v>232</v>
      </c>
    </row>
    <row r="111" spans="1:5" x14ac:dyDescent="0.25">
      <c r="A111" s="82"/>
      <c r="B111" s="83"/>
      <c r="C111" s="83" t="s">
        <v>122</v>
      </c>
      <c r="D111" s="83">
        <f>SUM(D108:D110)</f>
        <v>2877750</v>
      </c>
      <c r="E111" s="100">
        <f>SUM(E108:E110)</f>
        <v>108.699443124504</v>
      </c>
    </row>
    <row r="113" spans="1:5" x14ac:dyDescent="0.25">
      <c r="A113" s="279" t="s">
        <v>523</v>
      </c>
      <c r="B113" s="279"/>
      <c r="C113" s="279"/>
      <c r="D113" s="279"/>
      <c r="E113" s="279"/>
    </row>
    <row r="114" spans="1:5" x14ac:dyDescent="0.25">
      <c r="A114" s="72" t="s">
        <v>92</v>
      </c>
      <c r="B114" s="72" t="s">
        <v>93</v>
      </c>
      <c r="C114" s="71" t="s">
        <v>227</v>
      </c>
      <c r="D114" s="71" t="s">
        <v>228</v>
      </c>
      <c r="E114" s="73" t="s">
        <v>229</v>
      </c>
    </row>
    <row r="115" spans="1:5" x14ac:dyDescent="0.25">
      <c r="A115" s="74" t="s">
        <v>370</v>
      </c>
      <c r="B115" s="75">
        <f>INSUMOS!B93</f>
        <v>480000</v>
      </c>
      <c r="C115" s="103">
        <v>1</v>
      </c>
      <c r="D115" s="75">
        <f>C115*B115</f>
        <v>480000</v>
      </c>
      <c r="E115" s="102">
        <f>INSUMOS!E93</f>
        <v>15</v>
      </c>
    </row>
    <row r="116" spans="1:5" x14ac:dyDescent="0.25">
      <c r="A116" s="77" t="s">
        <v>524</v>
      </c>
      <c r="B116" s="78">
        <f>INSUMOS!B23</f>
        <v>3594500</v>
      </c>
      <c r="C116" s="104">
        <v>0.35</v>
      </c>
      <c r="D116" s="78">
        <f>C116*B116</f>
        <v>1258075</v>
      </c>
      <c r="E116" s="97">
        <f>0.35*INSUMOS!E23</f>
        <v>89.099443124503992</v>
      </c>
    </row>
    <row r="117" spans="1:5" x14ac:dyDescent="0.25">
      <c r="A117" s="77" t="s">
        <v>507</v>
      </c>
      <c r="B117" s="78">
        <f>INSUMOS!B273</f>
        <v>1600000</v>
      </c>
      <c r="C117" s="104">
        <v>1</v>
      </c>
      <c r="D117" s="78">
        <f>C117*B117</f>
        <v>1600000</v>
      </c>
      <c r="E117" s="105" t="s">
        <v>232</v>
      </c>
    </row>
    <row r="118" spans="1:5" x14ac:dyDescent="0.25">
      <c r="A118" s="82"/>
      <c r="B118" s="83"/>
      <c r="C118" s="83" t="s">
        <v>122</v>
      </c>
      <c r="D118" s="83">
        <f>SUM(D115:D117)</f>
        <v>3338075</v>
      </c>
      <c r="E118" s="100">
        <f>SUM(E115:E117)</f>
        <v>104.09944312450399</v>
      </c>
    </row>
    <row r="120" spans="1:5" x14ac:dyDescent="0.25">
      <c r="A120" s="279" t="s">
        <v>525</v>
      </c>
      <c r="B120" s="279"/>
      <c r="C120" s="279"/>
      <c r="D120" s="279"/>
      <c r="E120" s="279"/>
    </row>
    <row r="121" spans="1:5" x14ac:dyDescent="0.25">
      <c r="A121" s="72" t="s">
        <v>92</v>
      </c>
      <c r="B121" s="72" t="s">
        <v>93</v>
      </c>
      <c r="C121" s="71" t="s">
        <v>227</v>
      </c>
      <c r="D121" s="71" t="s">
        <v>228</v>
      </c>
      <c r="E121" s="73" t="s">
        <v>229</v>
      </c>
    </row>
    <row r="122" spans="1:5" x14ac:dyDescent="0.25">
      <c r="A122" s="74" t="s">
        <v>421</v>
      </c>
      <c r="B122" s="75">
        <f>INSUMOS!B70</f>
        <v>80000</v>
      </c>
      <c r="C122" s="103">
        <v>1</v>
      </c>
      <c r="D122" s="75">
        <f>C122*B122</f>
        <v>80000</v>
      </c>
      <c r="E122" s="102">
        <f>INSUMOS!E46</f>
        <v>5.4419712374368938</v>
      </c>
    </row>
    <row r="123" spans="1:5" x14ac:dyDescent="0.25">
      <c r="A123" s="94" t="s">
        <v>526</v>
      </c>
      <c r="B123" s="78">
        <f>INSUMOS!B6</f>
        <v>225000</v>
      </c>
      <c r="C123" s="104">
        <v>0.12</v>
      </c>
      <c r="D123" s="78">
        <f>C123*B123</f>
        <v>27000</v>
      </c>
      <c r="E123" s="97">
        <f>C123+INSUMOS!E6</f>
        <v>24.980335693220987</v>
      </c>
    </row>
    <row r="124" spans="1:5" x14ac:dyDescent="0.25">
      <c r="A124" s="94" t="s">
        <v>518</v>
      </c>
      <c r="B124" s="78">
        <f>INSUMOS!B268</f>
        <v>250000</v>
      </c>
      <c r="C124" s="104">
        <v>1</v>
      </c>
      <c r="D124" s="78">
        <f>C124*B124</f>
        <v>250000</v>
      </c>
      <c r="E124" s="106"/>
    </row>
    <row r="125" spans="1:5" x14ac:dyDescent="0.25">
      <c r="A125" s="82"/>
      <c r="B125" s="83"/>
      <c r="C125" s="83" t="s">
        <v>122</v>
      </c>
      <c r="D125" s="83">
        <f>SUM(D122:D124)</f>
        <v>357000</v>
      </c>
      <c r="E125" s="100">
        <f>SUM(E122:E124)</f>
        <v>30.422306930657882</v>
      </c>
    </row>
    <row r="127" spans="1:5" x14ac:dyDescent="0.25">
      <c r="A127" s="279" t="s">
        <v>527</v>
      </c>
      <c r="B127" s="279"/>
      <c r="C127" s="279"/>
      <c r="D127" s="279"/>
      <c r="E127" s="279"/>
    </row>
    <row r="128" spans="1:5" x14ac:dyDescent="0.25">
      <c r="A128" s="72" t="s">
        <v>92</v>
      </c>
      <c r="B128" s="72" t="s">
        <v>93</v>
      </c>
      <c r="C128" s="71" t="s">
        <v>227</v>
      </c>
      <c r="D128" s="71" t="s">
        <v>228</v>
      </c>
      <c r="E128" s="73" t="s">
        <v>229</v>
      </c>
    </row>
    <row r="129" spans="1:5" x14ac:dyDescent="0.25">
      <c r="A129" s="74" t="s">
        <v>421</v>
      </c>
      <c r="B129" s="75">
        <f>INSUMOS!B70</f>
        <v>80000</v>
      </c>
      <c r="C129" s="103">
        <v>1</v>
      </c>
      <c r="D129" s="75">
        <f>C129*B129</f>
        <v>80000</v>
      </c>
      <c r="E129" s="102">
        <f>INSUMOS!E70</f>
        <v>3</v>
      </c>
    </row>
    <row r="130" spans="1:5" x14ac:dyDescent="0.25">
      <c r="A130" s="94" t="s">
        <v>528</v>
      </c>
      <c r="B130" s="78">
        <f>INSUMOS!B6</f>
        <v>225000</v>
      </c>
      <c r="C130" s="104">
        <v>0.12</v>
      </c>
      <c r="D130" s="78">
        <f>C130*B130</f>
        <v>27000</v>
      </c>
      <c r="E130" s="97">
        <f>C130+INSUMOS!E15</f>
        <v>9.0697208495595518</v>
      </c>
    </row>
    <row r="131" spans="1:5" x14ac:dyDescent="0.25">
      <c r="A131" s="94" t="s">
        <v>518</v>
      </c>
      <c r="B131" s="78">
        <f>INSUMOS!B268</f>
        <v>250000</v>
      </c>
      <c r="C131" s="104">
        <v>1</v>
      </c>
      <c r="D131" s="78">
        <f>C131*B131</f>
        <v>250000</v>
      </c>
      <c r="E131" s="106"/>
    </row>
    <row r="132" spans="1:5" x14ac:dyDescent="0.25">
      <c r="A132" s="82"/>
      <c r="B132" s="83"/>
      <c r="C132" s="83" t="s">
        <v>122</v>
      </c>
      <c r="D132" s="83">
        <f>SUM(D129:D131)</f>
        <v>357000</v>
      </c>
      <c r="E132" s="100">
        <f>SUM(E129:E131)</f>
        <v>12.069720849559552</v>
      </c>
    </row>
    <row r="134" spans="1:5" x14ac:dyDescent="0.25">
      <c r="A134" s="279" t="s">
        <v>529</v>
      </c>
      <c r="B134" s="279"/>
      <c r="C134" s="279"/>
      <c r="D134" s="279"/>
      <c r="E134" s="279"/>
    </row>
    <row r="135" spans="1:5" x14ac:dyDescent="0.25">
      <c r="A135" s="72" t="s">
        <v>92</v>
      </c>
      <c r="B135" s="72" t="s">
        <v>93</v>
      </c>
      <c r="C135" s="71" t="s">
        <v>227</v>
      </c>
      <c r="D135" s="71" t="s">
        <v>228</v>
      </c>
      <c r="E135" s="73" t="s">
        <v>229</v>
      </c>
    </row>
    <row r="136" spans="1:5" x14ac:dyDescent="0.25">
      <c r="A136" s="74" t="s">
        <v>421</v>
      </c>
      <c r="B136" s="75">
        <f>INSUMOS!B70</f>
        <v>80000</v>
      </c>
      <c r="C136" s="103">
        <v>1</v>
      </c>
      <c r="D136" s="75">
        <f>C136*B136</f>
        <v>80000</v>
      </c>
      <c r="E136" s="102">
        <f>INSUMOS!E70</f>
        <v>3</v>
      </c>
    </row>
    <row r="137" spans="1:5" x14ac:dyDescent="0.25">
      <c r="A137" s="94" t="s">
        <v>530</v>
      </c>
      <c r="B137" s="78">
        <f>INSUMOS!B6</f>
        <v>225000</v>
      </c>
      <c r="C137" s="104">
        <v>0.08</v>
      </c>
      <c r="D137" s="78">
        <f>C137*B137</f>
        <v>18000</v>
      </c>
      <c r="E137" s="97">
        <f>C137*INSUMOS!E6</f>
        <v>1.9888268554576789</v>
      </c>
    </row>
    <row r="138" spans="1:5" x14ac:dyDescent="0.25">
      <c r="A138" s="94" t="s">
        <v>518</v>
      </c>
      <c r="B138" s="78">
        <f>INSUMOS!B268</f>
        <v>250000</v>
      </c>
      <c r="C138" s="104">
        <v>1</v>
      </c>
      <c r="D138" s="78">
        <f>C138*B138</f>
        <v>250000</v>
      </c>
      <c r="E138" s="106"/>
    </row>
    <row r="139" spans="1:5" x14ac:dyDescent="0.25">
      <c r="A139" s="82"/>
      <c r="B139" s="83"/>
      <c r="C139" s="83" t="s">
        <v>122</v>
      </c>
      <c r="D139" s="83">
        <f>SUM(D136:D138)</f>
        <v>348000</v>
      </c>
      <c r="E139" s="100">
        <f>SUM(E136:E138)</f>
        <v>4.9888268554576793</v>
      </c>
    </row>
    <row r="141" spans="1:5" x14ac:dyDescent="0.25">
      <c r="A141" s="279" t="s">
        <v>531</v>
      </c>
      <c r="B141" s="279"/>
      <c r="C141" s="279"/>
      <c r="D141" s="279"/>
      <c r="E141" s="279"/>
    </row>
    <row r="142" spans="1:5" x14ac:dyDescent="0.25">
      <c r="A142" s="72" t="s">
        <v>92</v>
      </c>
      <c r="B142" s="72" t="s">
        <v>93</v>
      </c>
      <c r="C142" s="71" t="s">
        <v>227</v>
      </c>
      <c r="D142" s="71" t="s">
        <v>228</v>
      </c>
      <c r="E142" s="73" t="s">
        <v>229</v>
      </c>
    </row>
    <row r="143" spans="1:5" x14ac:dyDescent="0.25">
      <c r="A143" s="74" t="s">
        <v>409</v>
      </c>
      <c r="B143" s="75">
        <f>INSUMOS!B90</f>
        <v>209000.00000000003</v>
      </c>
      <c r="C143" s="103">
        <v>1</v>
      </c>
      <c r="D143" s="75">
        <f>C143*B143</f>
        <v>209000.00000000003</v>
      </c>
      <c r="E143" s="102">
        <f>INSUMOS!E90</f>
        <v>4.93</v>
      </c>
    </row>
    <row r="144" spans="1:5" x14ac:dyDescent="0.25">
      <c r="A144" s="94" t="s">
        <v>532</v>
      </c>
      <c r="B144" s="78">
        <f>INSUMOS!B19</f>
        <v>461000</v>
      </c>
      <c r="C144" s="104">
        <v>0.115</v>
      </c>
      <c r="D144" s="78">
        <f>C144*B144</f>
        <v>53015</v>
      </c>
      <c r="E144" s="97">
        <f>C144*INSUMOS!E19</f>
        <v>4.1168715907973947</v>
      </c>
    </row>
    <row r="145" spans="1:5" x14ac:dyDescent="0.25">
      <c r="A145" s="94" t="s">
        <v>493</v>
      </c>
      <c r="B145" s="78">
        <f>INSUMOS!B270</f>
        <v>395000</v>
      </c>
      <c r="C145" s="104">
        <v>1</v>
      </c>
      <c r="D145" s="78">
        <f>C145*B145</f>
        <v>395000</v>
      </c>
      <c r="E145" s="106" t="s">
        <v>232</v>
      </c>
    </row>
    <row r="146" spans="1:5" x14ac:dyDescent="0.25">
      <c r="A146" s="82"/>
      <c r="B146" s="83"/>
      <c r="C146" s="83" t="s">
        <v>122</v>
      </c>
      <c r="D146" s="83">
        <f>SUM(D143:D145)</f>
        <v>657015</v>
      </c>
      <c r="E146" s="100">
        <f>SUM(E143:E145)</f>
        <v>9.0468715907973944</v>
      </c>
    </row>
    <row r="148" spans="1:5" x14ac:dyDescent="0.25">
      <c r="A148" s="279" t="s">
        <v>533</v>
      </c>
      <c r="B148" s="279"/>
      <c r="C148" s="279"/>
      <c r="D148" s="279"/>
      <c r="E148" s="279"/>
    </row>
    <row r="149" spans="1:5" x14ac:dyDescent="0.25">
      <c r="A149" s="72" t="s">
        <v>92</v>
      </c>
      <c r="B149" s="72" t="s">
        <v>93</v>
      </c>
      <c r="C149" s="71" t="s">
        <v>227</v>
      </c>
      <c r="D149" s="71" t="s">
        <v>228</v>
      </c>
      <c r="E149" s="73" t="s">
        <v>229</v>
      </c>
    </row>
    <row r="150" spans="1:5" x14ac:dyDescent="0.25">
      <c r="A150" s="74" t="s">
        <v>534</v>
      </c>
      <c r="B150" s="75">
        <f>INSUMOS!B69</f>
        <v>65000</v>
      </c>
      <c r="C150" s="103">
        <v>1</v>
      </c>
      <c r="D150" s="75">
        <f>C150*B150</f>
        <v>65000</v>
      </c>
      <c r="E150" s="102">
        <f>INSUMOS!E69</f>
        <v>2</v>
      </c>
    </row>
    <row r="151" spans="1:5" x14ac:dyDescent="0.25">
      <c r="A151" s="94" t="s">
        <v>535</v>
      </c>
      <c r="B151" s="78">
        <f>INSUMOS!B5</f>
        <v>154000</v>
      </c>
      <c r="C151" s="104">
        <v>0.11</v>
      </c>
      <c r="D151" s="78">
        <f>C151*B151</f>
        <v>16940</v>
      </c>
      <c r="E151" s="97">
        <f>C151*INSUMOS!E5</f>
        <v>1.7501676328027571</v>
      </c>
    </row>
    <row r="152" spans="1:5" x14ac:dyDescent="0.25">
      <c r="A152" s="94" t="s">
        <v>536</v>
      </c>
      <c r="B152" s="78">
        <f>INSUMOS!B267</f>
        <v>230000</v>
      </c>
      <c r="C152" s="104">
        <v>1</v>
      </c>
      <c r="D152" s="78">
        <f>C152*B152</f>
        <v>230000</v>
      </c>
      <c r="E152" s="106"/>
    </row>
    <row r="153" spans="1:5" x14ac:dyDescent="0.25">
      <c r="A153" s="82"/>
      <c r="B153" s="83"/>
      <c r="C153" s="83" t="s">
        <v>122</v>
      </c>
      <c r="D153" s="83">
        <f>SUM(D150:D152)</f>
        <v>311940</v>
      </c>
      <c r="E153" s="100">
        <f>SUM(E150:E152)</f>
        <v>3.7501676328027571</v>
      </c>
    </row>
    <row r="155" spans="1:5" x14ac:dyDescent="0.25">
      <c r="A155" s="279" t="s">
        <v>537</v>
      </c>
      <c r="B155" s="279"/>
      <c r="C155" s="279"/>
      <c r="D155" s="279"/>
      <c r="E155" s="279"/>
    </row>
    <row r="156" spans="1:5" x14ac:dyDescent="0.25">
      <c r="A156" s="72" t="s">
        <v>92</v>
      </c>
      <c r="B156" s="72" t="s">
        <v>93</v>
      </c>
      <c r="C156" s="71" t="s">
        <v>227</v>
      </c>
      <c r="D156" s="71" t="s">
        <v>228</v>
      </c>
      <c r="E156" s="73" t="s">
        <v>229</v>
      </c>
    </row>
    <row r="157" spans="1:5" x14ac:dyDescent="0.25">
      <c r="A157" s="74" t="s">
        <v>367</v>
      </c>
      <c r="B157" s="75">
        <f>INSUMOS!B91</f>
        <v>325600</v>
      </c>
      <c r="C157" s="103">
        <v>1</v>
      </c>
      <c r="D157" s="75">
        <f>C157*B157</f>
        <v>325600</v>
      </c>
      <c r="E157" s="102">
        <f>INSUMOS!E91</f>
        <v>6.8</v>
      </c>
    </row>
    <row r="158" spans="1:5" x14ac:dyDescent="0.25">
      <c r="A158" s="77" t="s">
        <v>538</v>
      </c>
      <c r="B158" s="78">
        <f>INSUMOS!B21</f>
        <v>720000</v>
      </c>
      <c r="C158" s="104">
        <v>0.17</v>
      </c>
      <c r="D158" s="78">
        <f>C158*B158</f>
        <v>122400.00000000001</v>
      </c>
      <c r="E158" s="97">
        <f>C158*INSUMOS!E21</f>
        <v>10.819218093689772</v>
      </c>
    </row>
    <row r="159" spans="1:5" x14ac:dyDescent="0.25">
      <c r="A159" s="77" t="s">
        <v>488</v>
      </c>
      <c r="B159" s="78">
        <f>INSUMOS!B271</f>
        <v>420000</v>
      </c>
      <c r="C159" s="104">
        <v>1</v>
      </c>
      <c r="D159" s="78">
        <f>C159*B159</f>
        <v>420000</v>
      </c>
      <c r="E159" s="105" t="s">
        <v>232</v>
      </c>
    </row>
    <row r="160" spans="1:5" x14ac:dyDescent="0.25">
      <c r="A160" s="82"/>
      <c r="B160" s="83"/>
      <c r="C160" s="83" t="s">
        <v>122</v>
      </c>
      <c r="D160" s="83">
        <f>SUM(D157:D159)</f>
        <v>868000</v>
      </c>
      <c r="E160" s="100">
        <f>SUM(E157:E159)</f>
        <v>17.619218093689771</v>
      </c>
    </row>
    <row r="162" spans="1:5" x14ac:dyDescent="0.25">
      <c r="A162" s="279" t="s">
        <v>539</v>
      </c>
      <c r="B162" s="279"/>
      <c r="C162" s="279"/>
      <c r="D162" s="279"/>
      <c r="E162" s="279"/>
    </row>
    <row r="163" spans="1:5" x14ac:dyDescent="0.25">
      <c r="A163" s="72" t="s">
        <v>92</v>
      </c>
      <c r="B163" s="72" t="s">
        <v>93</v>
      </c>
      <c r="C163" s="71" t="s">
        <v>227</v>
      </c>
      <c r="D163" s="71" t="s">
        <v>228</v>
      </c>
      <c r="E163" s="73" t="s">
        <v>229</v>
      </c>
    </row>
    <row r="164" spans="1:5" x14ac:dyDescent="0.25">
      <c r="A164" s="74" t="s">
        <v>409</v>
      </c>
      <c r="B164" s="75">
        <f>INSUMOS!B90</f>
        <v>209000.00000000003</v>
      </c>
      <c r="C164" s="103">
        <v>1</v>
      </c>
      <c r="D164" s="75">
        <f>C164*B164</f>
        <v>209000.00000000003</v>
      </c>
      <c r="E164" s="102">
        <f>INSUMOS!E90</f>
        <v>4.93</v>
      </c>
    </row>
    <row r="165" spans="1:5" x14ac:dyDescent="0.25">
      <c r="A165" s="94" t="s">
        <v>540</v>
      </c>
      <c r="B165" s="78">
        <f>INSUMOS!B19</f>
        <v>461000</v>
      </c>
      <c r="C165" s="104">
        <v>0.14000000000000001</v>
      </c>
      <c r="D165" s="78">
        <f>C165*B165</f>
        <v>64540.000000000007</v>
      </c>
      <c r="E165" s="97">
        <f>C165*INSUMOS!E19</f>
        <v>5.01184367575335</v>
      </c>
    </row>
    <row r="166" spans="1:5" x14ac:dyDescent="0.25">
      <c r="A166" s="94" t="s">
        <v>493</v>
      </c>
      <c r="B166" s="78">
        <f>INSUMOS!B270</f>
        <v>395000</v>
      </c>
      <c r="C166" s="104">
        <v>1</v>
      </c>
      <c r="D166" s="78">
        <f>C166*B166</f>
        <v>395000</v>
      </c>
      <c r="E166" s="106" t="s">
        <v>232</v>
      </c>
    </row>
    <row r="167" spans="1:5" x14ac:dyDescent="0.25">
      <c r="A167" s="82"/>
      <c r="B167" s="83"/>
      <c r="C167" s="83" t="s">
        <v>122</v>
      </c>
      <c r="D167" s="83">
        <f>SUM(D164:D166)</f>
        <v>668540</v>
      </c>
      <c r="E167" s="100">
        <f>SUM(E164:E166)</f>
        <v>9.9418436757533506</v>
      </c>
    </row>
    <row r="169" spans="1:5" x14ac:dyDescent="0.25">
      <c r="A169" s="279" t="s">
        <v>541</v>
      </c>
      <c r="B169" s="279"/>
      <c r="C169" s="279"/>
      <c r="D169" s="279"/>
      <c r="E169" s="279"/>
    </row>
    <row r="170" spans="1:5" x14ac:dyDescent="0.25">
      <c r="A170" s="72" t="s">
        <v>92</v>
      </c>
      <c r="B170" s="72" t="s">
        <v>93</v>
      </c>
      <c r="C170" s="71" t="s">
        <v>227</v>
      </c>
      <c r="D170" s="71" t="s">
        <v>228</v>
      </c>
      <c r="E170" s="73" t="s">
        <v>229</v>
      </c>
    </row>
    <row r="171" spans="1:5" x14ac:dyDescent="0.25">
      <c r="A171" s="74" t="s">
        <v>409</v>
      </c>
      <c r="B171" s="75">
        <f>INSUMOS!B90</f>
        <v>209000.00000000003</v>
      </c>
      <c r="C171" s="103">
        <v>1</v>
      </c>
      <c r="D171" s="75">
        <f>C171*B171</f>
        <v>209000.00000000003</v>
      </c>
      <c r="E171" s="102">
        <f>INSUMOS!E90</f>
        <v>4.93</v>
      </c>
    </row>
    <row r="172" spans="1:5" x14ac:dyDescent="0.25">
      <c r="A172" s="94" t="s">
        <v>532</v>
      </c>
      <c r="B172" s="78">
        <f>INSUMOS!B19</f>
        <v>461000</v>
      </c>
      <c r="C172" s="104">
        <v>0.12</v>
      </c>
      <c r="D172" s="78">
        <f>C172*B172</f>
        <v>55320</v>
      </c>
      <c r="E172" s="97">
        <f>C172*INSUMOS!E19</f>
        <v>4.2958660077885851</v>
      </c>
    </row>
    <row r="173" spans="1:5" x14ac:dyDescent="0.25">
      <c r="A173" s="94" t="s">
        <v>493</v>
      </c>
      <c r="B173" s="78">
        <f>INSUMOS!B270</f>
        <v>395000</v>
      </c>
      <c r="C173" s="104">
        <v>1</v>
      </c>
      <c r="D173" s="78">
        <f>C173*B173</f>
        <v>395000</v>
      </c>
      <c r="E173" s="106" t="s">
        <v>232</v>
      </c>
    </row>
    <row r="174" spans="1:5" x14ac:dyDescent="0.25">
      <c r="A174" s="82"/>
      <c r="B174" s="83"/>
      <c r="C174" s="83" t="s">
        <v>122</v>
      </c>
      <c r="D174" s="83">
        <f>SUM(D171:D173)</f>
        <v>659320</v>
      </c>
      <c r="E174" s="100">
        <f>SUM(E171:E173)</f>
        <v>9.2258660077885857</v>
      </c>
    </row>
    <row r="176" spans="1:5" x14ac:dyDescent="0.25">
      <c r="A176" s="279" t="s">
        <v>542</v>
      </c>
      <c r="B176" s="279"/>
      <c r="C176" s="279"/>
      <c r="D176" s="279"/>
      <c r="E176" s="279"/>
    </row>
    <row r="177" spans="1:5" x14ac:dyDescent="0.25">
      <c r="A177" s="72" t="s">
        <v>92</v>
      </c>
      <c r="B177" s="72" t="s">
        <v>93</v>
      </c>
      <c r="C177" s="71" t="s">
        <v>227</v>
      </c>
      <c r="D177" s="71" t="s">
        <v>228</v>
      </c>
      <c r="E177" s="73" t="s">
        <v>229</v>
      </c>
    </row>
    <row r="178" spans="1:5" x14ac:dyDescent="0.25">
      <c r="A178" s="74" t="s">
        <v>379</v>
      </c>
      <c r="B178" s="75">
        <f>INSUMOS!B74</f>
        <v>212000</v>
      </c>
      <c r="C178" s="103">
        <v>1</v>
      </c>
      <c r="D178" s="75">
        <f>C178*B178</f>
        <v>212000</v>
      </c>
      <c r="E178" s="102">
        <f>INSUMOS!E74</f>
        <v>11.3</v>
      </c>
    </row>
    <row r="179" spans="1:5" x14ac:dyDescent="0.25">
      <c r="A179" s="77" t="s">
        <v>543</v>
      </c>
      <c r="B179" s="78">
        <f>INSUMOS!B9</f>
        <v>1267000</v>
      </c>
      <c r="C179" s="104">
        <v>0.25</v>
      </c>
      <c r="D179" s="78">
        <f>C179*B179</f>
        <v>316750</v>
      </c>
      <c r="E179" s="97">
        <f>C179*INSUMOS!E9</f>
        <v>35.79888339823821</v>
      </c>
    </row>
    <row r="180" spans="1:5" x14ac:dyDescent="0.25">
      <c r="A180" s="77" t="s">
        <v>498</v>
      </c>
      <c r="B180" s="78">
        <f>INSUMOS!B272</f>
        <v>1305000</v>
      </c>
      <c r="C180" s="104">
        <v>1</v>
      </c>
      <c r="D180" s="78">
        <f>C180*B180</f>
        <v>1305000</v>
      </c>
      <c r="E180" s="105" t="s">
        <v>232</v>
      </c>
    </row>
    <row r="181" spans="1:5" x14ac:dyDescent="0.25">
      <c r="A181" s="82"/>
      <c r="B181" s="83"/>
      <c r="C181" s="83" t="s">
        <v>122</v>
      </c>
      <c r="D181" s="83">
        <f>SUM(D178:D180)</f>
        <v>1833750</v>
      </c>
      <c r="E181" s="100">
        <f>SUM(E178:E180)</f>
        <v>47.098883398238215</v>
      </c>
    </row>
    <row r="183" spans="1:5" x14ac:dyDescent="0.25">
      <c r="A183" s="279" t="s">
        <v>544</v>
      </c>
      <c r="B183" s="279"/>
      <c r="C183" s="279"/>
      <c r="D183" s="279"/>
      <c r="E183" s="279"/>
    </row>
    <row r="184" spans="1:5" x14ac:dyDescent="0.25">
      <c r="A184" s="72" t="s">
        <v>92</v>
      </c>
      <c r="B184" s="72" t="s">
        <v>93</v>
      </c>
      <c r="C184" s="71" t="s">
        <v>227</v>
      </c>
      <c r="D184" s="71" t="s">
        <v>228</v>
      </c>
      <c r="E184" s="73" t="s">
        <v>229</v>
      </c>
    </row>
    <row r="185" spans="1:5" x14ac:dyDescent="0.25">
      <c r="A185" s="74" t="s">
        <v>460</v>
      </c>
      <c r="B185" s="75">
        <f>INSUMOS!B88</f>
        <v>120000</v>
      </c>
      <c r="C185" s="103">
        <v>1</v>
      </c>
      <c r="D185" s="75">
        <f>C185*B185</f>
        <v>120000</v>
      </c>
      <c r="E185" s="102">
        <f>INSUMOS!E88</f>
        <v>3</v>
      </c>
    </row>
    <row r="186" spans="1:5" x14ac:dyDescent="0.25">
      <c r="A186" s="94" t="s">
        <v>545</v>
      </c>
      <c r="B186" s="78">
        <f>INSUMOS!B18</f>
        <v>322000</v>
      </c>
      <c r="C186" s="104">
        <v>0.12</v>
      </c>
      <c r="D186" s="78">
        <f>C186*B186</f>
        <v>38640</v>
      </c>
      <c r="E186" s="97">
        <f>C186*INSUMOS!E18</f>
        <v>2.9832402831865181</v>
      </c>
    </row>
    <row r="187" spans="1:5" x14ac:dyDescent="0.25">
      <c r="A187" s="94" t="s">
        <v>518</v>
      </c>
      <c r="B187" s="78">
        <f>INSUMOS!B268</f>
        <v>250000</v>
      </c>
      <c r="C187" s="104">
        <v>1</v>
      </c>
      <c r="D187" s="78">
        <f>C187*B187</f>
        <v>250000</v>
      </c>
      <c r="E187" s="106"/>
    </row>
    <row r="188" spans="1:5" x14ac:dyDescent="0.25">
      <c r="A188" s="82"/>
      <c r="B188" s="83"/>
      <c r="C188" s="83" t="s">
        <v>122</v>
      </c>
      <c r="D188" s="83">
        <f>SUM(D185:D187)</f>
        <v>408640</v>
      </c>
      <c r="E188" s="100">
        <f>SUM(E185:E187)</f>
        <v>5.9832402831865181</v>
      </c>
    </row>
    <row r="190" spans="1:5" x14ac:dyDescent="0.25">
      <c r="A190" s="279" t="s">
        <v>546</v>
      </c>
      <c r="B190" s="279"/>
      <c r="C190" s="279"/>
      <c r="D190" s="279"/>
      <c r="E190" s="279"/>
    </row>
    <row r="191" spans="1:5" x14ac:dyDescent="0.25">
      <c r="A191" s="72" t="s">
        <v>92</v>
      </c>
      <c r="B191" s="72" t="s">
        <v>93</v>
      </c>
      <c r="C191" s="71" t="s">
        <v>227</v>
      </c>
      <c r="D191" s="71" t="s">
        <v>228</v>
      </c>
      <c r="E191" s="73" t="s">
        <v>229</v>
      </c>
    </row>
    <row r="192" spans="1:5" x14ac:dyDescent="0.25">
      <c r="A192" s="74" t="s">
        <v>379</v>
      </c>
      <c r="B192" s="75">
        <f>INSUMOS!B74</f>
        <v>212000</v>
      </c>
      <c r="C192" s="103">
        <v>1</v>
      </c>
      <c r="D192" s="75">
        <f>C192*B192</f>
        <v>212000</v>
      </c>
      <c r="E192" s="102">
        <f>INSUMOS!E74</f>
        <v>11.3</v>
      </c>
    </row>
    <row r="193" spans="1:5" x14ac:dyDescent="0.25">
      <c r="A193" s="77" t="s">
        <v>547</v>
      </c>
      <c r="B193" s="78">
        <f>INSUMOS!B9</f>
        <v>1267000</v>
      </c>
      <c r="C193" s="104">
        <v>0.22</v>
      </c>
      <c r="D193" s="78">
        <f>C193*B193</f>
        <v>278740</v>
      </c>
      <c r="E193" s="97">
        <f>C193*INSUMOS!E9</f>
        <v>31.503017390449624</v>
      </c>
    </row>
    <row r="194" spans="1:5" x14ac:dyDescent="0.25">
      <c r="A194" s="77" t="s">
        <v>498</v>
      </c>
      <c r="B194" s="78">
        <f>INSUMOS!B272</f>
        <v>1305000</v>
      </c>
      <c r="C194" s="104">
        <v>1</v>
      </c>
      <c r="D194" s="78">
        <f>C194*B194</f>
        <v>1305000</v>
      </c>
      <c r="E194" s="105" t="s">
        <v>232</v>
      </c>
    </row>
    <row r="195" spans="1:5" x14ac:dyDescent="0.25">
      <c r="A195" s="82"/>
      <c r="B195" s="83"/>
      <c r="C195" s="83" t="s">
        <v>122</v>
      </c>
      <c r="D195" s="83">
        <f>SUM(D192:D194)</f>
        <v>1795740</v>
      </c>
      <c r="E195" s="100">
        <f>SUM(E192:E194)</f>
        <v>42.803017390449625</v>
      </c>
    </row>
    <row r="197" spans="1:5" x14ac:dyDescent="0.25">
      <c r="A197" s="279" t="s">
        <v>548</v>
      </c>
      <c r="B197" s="279"/>
      <c r="C197" s="279"/>
      <c r="D197" s="279"/>
      <c r="E197" s="279"/>
    </row>
    <row r="198" spans="1:5" x14ac:dyDescent="0.25">
      <c r="A198" s="72" t="s">
        <v>92</v>
      </c>
      <c r="B198" s="72" t="s">
        <v>93</v>
      </c>
      <c r="C198" s="71" t="s">
        <v>227</v>
      </c>
      <c r="D198" s="71" t="s">
        <v>228</v>
      </c>
      <c r="E198" s="73" t="s">
        <v>229</v>
      </c>
    </row>
    <row r="199" spans="1:5" x14ac:dyDescent="0.25">
      <c r="A199" s="74" t="s">
        <v>549</v>
      </c>
      <c r="B199" s="75">
        <f>INSUMOS!B89</f>
        <v>130000</v>
      </c>
      <c r="C199" s="103">
        <v>1</v>
      </c>
      <c r="D199" s="75">
        <f>C199*B199</f>
        <v>130000</v>
      </c>
      <c r="E199" s="102">
        <f>INSUMOS!E89</f>
        <v>3.28</v>
      </c>
    </row>
    <row r="200" spans="1:5" x14ac:dyDescent="0.25">
      <c r="A200" s="94" t="s">
        <v>532</v>
      </c>
      <c r="B200" s="78">
        <f>INSUMOS!B19</f>
        <v>461000</v>
      </c>
      <c r="C200" s="104">
        <v>0.17</v>
      </c>
      <c r="D200" s="78">
        <f>C200*B200</f>
        <v>78370</v>
      </c>
      <c r="E200" s="97">
        <f>C200*INSUMOS!E19</f>
        <v>6.0858101777004965</v>
      </c>
    </row>
    <row r="201" spans="1:5" x14ac:dyDescent="0.25">
      <c r="A201" s="94" t="s">
        <v>502</v>
      </c>
      <c r="B201" s="78">
        <f>INSUMOS!B269</f>
        <v>300000</v>
      </c>
      <c r="C201" s="104">
        <v>1</v>
      </c>
      <c r="D201" s="78">
        <f>C201*B201</f>
        <v>300000</v>
      </c>
      <c r="E201" s="106"/>
    </row>
    <row r="202" spans="1:5" x14ac:dyDescent="0.25">
      <c r="A202" s="82"/>
      <c r="B202" s="83"/>
      <c r="C202" s="83" t="s">
        <v>122</v>
      </c>
      <c r="D202" s="83">
        <f>SUM(D199:D201)</f>
        <v>508370</v>
      </c>
      <c r="E202" s="100">
        <f>SUM(E199:E201)</f>
        <v>9.3658101777004958</v>
      </c>
    </row>
    <row r="204" spans="1:5" x14ac:dyDescent="0.25">
      <c r="A204" s="279" t="s">
        <v>550</v>
      </c>
      <c r="B204" s="279"/>
      <c r="C204" s="279"/>
      <c r="D204" s="279"/>
      <c r="E204" s="279"/>
    </row>
    <row r="205" spans="1:5" x14ac:dyDescent="0.25">
      <c r="A205" s="72" t="s">
        <v>92</v>
      </c>
      <c r="B205" s="72" t="s">
        <v>93</v>
      </c>
      <c r="C205" s="71" t="s">
        <v>227</v>
      </c>
      <c r="D205" s="71" t="s">
        <v>228</v>
      </c>
      <c r="E205" s="73" t="s">
        <v>229</v>
      </c>
    </row>
    <row r="206" spans="1:5" x14ac:dyDescent="0.25">
      <c r="A206" s="74" t="s">
        <v>391</v>
      </c>
      <c r="B206" s="75">
        <f>INSUMOS!B75</f>
        <v>310000</v>
      </c>
      <c r="C206" s="103">
        <v>1</v>
      </c>
      <c r="D206" s="75">
        <f>C206*B206</f>
        <v>310000</v>
      </c>
      <c r="E206" s="102">
        <f>INSUMOS!E75</f>
        <v>19.600000000000001</v>
      </c>
    </row>
    <row r="207" spans="1:5" x14ac:dyDescent="0.25">
      <c r="A207" s="77" t="s">
        <v>551</v>
      </c>
      <c r="B207" s="78">
        <f>INSUMOS!B10</f>
        <v>2765000</v>
      </c>
      <c r="C207" s="104">
        <v>0.22</v>
      </c>
      <c r="D207" s="78">
        <f>C207*B207</f>
        <v>608300</v>
      </c>
      <c r="E207" s="97">
        <f>C207*INSUMOS!E10</f>
        <v>56.005364249688228</v>
      </c>
    </row>
    <row r="208" spans="1:5" x14ac:dyDescent="0.25">
      <c r="A208" s="77" t="s">
        <v>507</v>
      </c>
      <c r="B208" s="78">
        <f>INSUMOS!B273</f>
        <v>1600000</v>
      </c>
      <c r="C208" s="104">
        <v>1</v>
      </c>
      <c r="D208" s="78">
        <f>C208*B208</f>
        <v>1600000</v>
      </c>
      <c r="E208" s="105" t="s">
        <v>232</v>
      </c>
    </row>
    <row r="209" spans="1:5" x14ac:dyDescent="0.25">
      <c r="A209" s="82"/>
      <c r="B209" s="83"/>
      <c r="C209" s="83" t="s">
        <v>122</v>
      </c>
      <c r="D209" s="83">
        <f>SUM(D206:D208)</f>
        <v>2518300</v>
      </c>
      <c r="E209" s="100">
        <f>SUM(E206:E208)</f>
        <v>75.605364249688222</v>
      </c>
    </row>
    <row r="211" spans="1:5" x14ac:dyDescent="0.25">
      <c r="A211" s="279" t="s">
        <v>552</v>
      </c>
      <c r="B211" s="279"/>
      <c r="C211" s="279"/>
      <c r="D211" s="279"/>
      <c r="E211" s="279"/>
    </row>
    <row r="212" spans="1:5" x14ac:dyDescent="0.25">
      <c r="A212" s="72" t="s">
        <v>92</v>
      </c>
      <c r="B212" s="72" t="s">
        <v>93</v>
      </c>
      <c r="C212" s="71" t="s">
        <v>227</v>
      </c>
      <c r="D212" s="71" t="s">
        <v>228</v>
      </c>
      <c r="E212" s="73" t="s">
        <v>229</v>
      </c>
    </row>
    <row r="213" spans="1:5" x14ac:dyDescent="0.25">
      <c r="A213" s="74" t="s">
        <v>501</v>
      </c>
      <c r="B213" s="75">
        <f>INSUMOS!B70</f>
        <v>80000</v>
      </c>
      <c r="C213" s="103">
        <v>1</v>
      </c>
      <c r="D213" s="75">
        <f>C213*B213</f>
        <v>80000</v>
      </c>
      <c r="E213" s="102">
        <f>INSUMOS!E70</f>
        <v>3</v>
      </c>
    </row>
    <row r="214" spans="1:5" x14ac:dyDescent="0.25">
      <c r="A214" s="77" t="s">
        <v>553</v>
      </c>
      <c r="B214" s="78">
        <f>INSUMOS!B7</f>
        <v>461000</v>
      </c>
      <c r="C214" s="104">
        <v>0.09</v>
      </c>
      <c r="D214" s="78">
        <f>C214*B214</f>
        <v>41490</v>
      </c>
      <c r="E214" s="97">
        <f>C214*INSUMOS!E7</f>
        <v>3.221899505841439</v>
      </c>
    </row>
    <row r="215" spans="1:5" x14ac:dyDescent="0.25">
      <c r="A215" s="77" t="s">
        <v>502</v>
      </c>
      <c r="B215" s="78">
        <f>INSUMOS!B269</f>
        <v>300000</v>
      </c>
      <c r="C215" s="104">
        <v>1</v>
      </c>
      <c r="D215" s="78">
        <f>C215*B215</f>
        <v>300000</v>
      </c>
      <c r="E215" s="106"/>
    </row>
    <row r="216" spans="1:5" x14ac:dyDescent="0.25">
      <c r="A216" s="82"/>
      <c r="B216" s="83"/>
      <c r="C216" s="83" t="s">
        <v>122</v>
      </c>
      <c r="D216" s="83">
        <f>SUM(D213:D215)</f>
        <v>421490</v>
      </c>
      <c r="E216" s="100">
        <f>SUM(E213:E215)</f>
        <v>6.2218995058414386</v>
      </c>
    </row>
    <row r="218" spans="1:5" x14ac:dyDescent="0.25">
      <c r="A218" s="279" t="s">
        <v>554</v>
      </c>
      <c r="B218" s="279"/>
      <c r="C218" s="279"/>
      <c r="D218" s="279"/>
      <c r="E218" s="279"/>
    </row>
    <row r="219" spans="1:5" x14ac:dyDescent="0.25">
      <c r="A219" s="72" t="s">
        <v>92</v>
      </c>
      <c r="B219" s="72" t="s">
        <v>93</v>
      </c>
      <c r="C219" s="71" t="s">
        <v>227</v>
      </c>
      <c r="D219" s="71" t="s">
        <v>228</v>
      </c>
      <c r="E219" s="73" t="s">
        <v>229</v>
      </c>
    </row>
    <row r="220" spans="1:5" x14ac:dyDescent="0.25">
      <c r="A220" s="74" t="s">
        <v>549</v>
      </c>
      <c r="B220" s="75">
        <f>INSUMOS!B89</f>
        <v>130000</v>
      </c>
      <c r="C220" s="103">
        <v>1</v>
      </c>
      <c r="D220" s="75">
        <f>C220*B220</f>
        <v>130000</v>
      </c>
      <c r="E220" s="102">
        <f>INSUMOS!E89</f>
        <v>3.28</v>
      </c>
    </row>
    <row r="221" spans="1:5" x14ac:dyDescent="0.25">
      <c r="A221" s="94" t="s">
        <v>532</v>
      </c>
      <c r="B221" s="78">
        <f>INSUMOS!B19</f>
        <v>461000</v>
      </c>
      <c r="C221" s="104">
        <v>0.17</v>
      </c>
      <c r="D221" s="78">
        <f>C221*B221</f>
        <v>78370</v>
      </c>
      <c r="E221" s="97">
        <f>C221*INSUMOS!E19</f>
        <v>6.0858101777004965</v>
      </c>
    </row>
    <row r="222" spans="1:5" x14ac:dyDescent="0.25">
      <c r="A222" s="94" t="s">
        <v>502</v>
      </c>
      <c r="B222" s="78">
        <f>INSUMOS!B269</f>
        <v>300000</v>
      </c>
      <c r="C222" s="104">
        <v>1</v>
      </c>
      <c r="D222" s="78">
        <f>C222*B222</f>
        <v>300000</v>
      </c>
      <c r="E222" s="106"/>
    </row>
    <row r="223" spans="1:5" x14ac:dyDescent="0.25">
      <c r="A223" s="82"/>
      <c r="B223" s="83"/>
      <c r="C223" s="83" t="s">
        <v>122</v>
      </c>
      <c r="D223" s="83">
        <f>SUM(D220:D222)</f>
        <v>508370</v>
      </c>
      <c r="E223" s="100">
        <f>SUM(E220:E222)</f>
        <v>9.3658101777004958</v>
      </c>
    </row>
    <row r="225" spans="1:5" x14ac:dyDescent="0.25">
      <c r="A225" s="279" t="s">
        <v>555</v>
      </c>
      <c r="B225" s="279"/>
      <c r="C225" s="279"/>
      <c r="D225" s="279"/>
      <c r="E225" s="279"/>
    </row>
    <row r="226" spans="1:5" x14ac:dyDescent="0.25">
      <c r="A226" s="72" t="s">
        <v>92</v>
      </c>
      <c r="B226" s="72" t="s">
        <v>93</v>
      </c>
      <c r="C226" s="71" t="s">
        <v>227</v>
      </c>
      <c r="D226" s="71" t="s">
        <v>228</v>
      </c>
      <c r="E226" s="73" t="s">
        <v>229</v>
      </c>
    </row>
    <row r="227" spans="1:5" x14ac:dyDescent="0.25">
      <c r="A227" s="74" t="s">
        <v>345</v>
      </c>
      <c r="B227" s="75">
        <f>INSUMOS!B72</f>
        <v>98250</v>
      </c>
      <c r="C227" s="103">
        <v>1</v>
      </c>
      <c r="D227" s="75">
        <f>C227*B227</f>
        <v>98250</v>
      </c>
      <c r="E227" s="102">
        <f>INSUMOS!E72</f>
        <v>4.93</v>
      </c>
    </row>
    <row r="228" spans="1:5" x14ac:dyDescent="0.25">
      <c r="A228" s="94" t="s">
        <v>556</v>
      </c>
      <c r="B228" s="78">
        <f>INSUMOS!B7</f>
        <v>461000</v>
      </c>
      <c r="C228" s="104">
        <v>0.18</v>
      </c>
      <c r="D228" s="78">
        <f>C228*B228</f>
        <v>82980</v>
      </c>
      <c r="E228" s="97">
        <f>C228*INSUMOS!E7</f>
        <v>6.4437990116828781</v>
      </c>
    </row>
    <row r="229" spans="1:5" x14ac:dyDescent="0.25">
      <c r="A229" s="94" t="s">
        <v>493</v>
      </c>
      <c r="B229" s="78">
        <f>INSUMOS!B270</f>
        <v>395000</v>
      </c>
      <c r="C229" s="104">
        <v>1</v>
      </c>
      <c r="D229" s="78">
        <f>C229*B229</f>
        <v>395000</v>
      </c>
      <c r="E229" s="105" t="s">
        <v>232</v>
      </c>
    </row>
    <row r="230" spans="1:5" x14ac:dyDescent="0.25">
      <c r="A230" s="82"/>
      <c r="B230" s="83"/>
      <c r="C230" s="83" t="s">
        <v>122</v>
      </c>
      <c r="D230" s="83">
        <f>SUM(D227:D229)</f>
        <v>576230</v>
      </c>
      <c r="E230" s="100">
        <f>SUM(E227:E229)</f>
        <v>11.373799011682877</v>
      </c>
    </row>
    <row r="232" spans="1:5" x14ac:dyDescent="0.25">
      <c r="A232" s="279" t="s">
        <v>557</v>
      </c>
      <c r="B232" s="279"/>
      <c r="C232" s="279"/>
      <c r="D232" s="279"/>
      <c r="E232" s="279"/>
    </row>
    <row r="233" spans="1:5" x14ac:dyDescent="0.25">
      <c r="A233" s="72" t="s">
        <v>92</v>
      </c>
      <c r="B233" s="72" t="s">
        <v>93</v>
      </c>
      <c r="C233" s="71" t="s">
        <v>227</v>
      </c>
      <c r="D233" s="71" t="s">
        <v>228</v>
      </c>
      <c r="E233" s="73" t="s">
        <v>229</v>
      </c>
    </row>
    <row r="234" spans="1:5" x14ac:dyDescent="0.25">
      <c r="A234" s="74" t="s">
        <v>558</v>
      </c>
      <c r="B234" s="75">
        <f>INSUMOS!B76</f>
        <v>508000</v>
      </c>
      <c r="C234" s="103">
        <v>1</v>
      </c>
      <c r="D234" s="75">
        <f>C234*B234</f>
        <v>508000</v>
      </c>
      <c r="E234" s="102">
        <f>INSUMOS!E76</f>
        <v>23</v>
      </c>
    </row>
    <row r="235" spans="1:5" x14ac:dyDescent="0.25">
      <c r="A235" s="94" t="s">
        <v>559</v>
      </c>
      <c r="B235" s="78">
        <f>INSUMOS!B11</f>
        <v>4000000</v>
      </c>
      <c r="C235" s="104">
        <v>0.45</v>
      </c>
      <c r="D235" s="78">
        <f>C235*B235</f>
        <v>1800000</v>
      </c>
      <c r="E235" s="97">
        <f>C235*INSUMOS!E11</f>
        <v>178.99441699119109</v>
      </c>
    </row>
    <row r="236" spans="1:5" x14ac:dyDescent="0.25">
      <c r="A236" s="94" t="s">
        <v>560</v>
      </c>
      <c r="B236" s="78">
        <f>INSUMOS!B274</f>
        <v>1900000</v>
      </c>
      <c r="C236" s="104">
        <v>1</v>
      </c>
      <c r="D236" s="78">
        <f>C236*B236</f>
        <v>1900000</v>
      </c>
      <c r="E236" s="105" t="s">
        <v>232</v>
      </c>
    </row>
    <row r="237" spans="1:5" x14ac:dyDescent="0.25">
      <c r="A237" s="82"/>
      <c r="B237" s="83"/>
      <c r="C237" s="83" t="s">
        <v>122</v>
      </c>
      <c r="D237" s="83">
        <f>SUM(D234:D236)</f>
        <v>4208000</v>
      </c>
      <c r="E237" s="100">
        <f>SUM(E234:E236)</f>
        <v>201.99441699119109</v>
      </c>
    </row>
    <row r="239" spans="1:5" x14ac:dyDescent="0.25">
      <c r="A239" s="279" t="s">
        <v>561</v>
      </c>
      <c r="B239" s="279"/>
      <c r="C239" s="279"/>
      <c r="D239" s="279"/>
      <c r="E239" s="279"/>
    </row>
    <row r="240" spans="1:5" x14ac:dyDescent="0.25">
      <c r="A240" s="72" t="s">
        <v>92</v>
      </c>
      <c r="B240" s="72" t="s">
        <v>93</v>
      </c>
      <c r="C240" s="71" t="s">
        <v>227</v>
      </c>
      <c r="D240" s="71" t="s">
        <v>228</v>
      </c>
      <c r="E240" s="73" t="s">
        <v>229</v>
      </c>
    </row>
    <row r="241" spans="1:5" x14ac:dyDescent="0.25">
      <c r="A241" s="74" t="s">
        <v>562</v>
      </c>
      <c r="B241" s="75">
        <f>INSUMOS!B94</f>
        <v>871500</v>
      </c>
      <c r="C241" s="103">
        <v>1</v>
      </c>
      <c r="D241" s="75">
        <f>C241*B241</f>
        <v>871500</v>
      </c>
      <c r="E241" s="102">
        <f>INSUMOS!E94</f>
        <v>23</v>
      </c>
    </row>
    <row r="242" spans="1:5" x14ac:dyDescent="0.25">
      <c r="A242" s="94" t="s">
        <v>563</v>
      </c>
      <c r="B242" s="78">
        <f>INSUMOS!B24</f>
        <v>6500000</v>
      </c>
      <c r="C242" s="104">
        <v>0.45</v>
      </c>
      <c r="D242" s="78">
        <f>C242*B242</f>
        <v>2925000</v>
      </c>
      <c r="E242" s="97">
        <f>C242*INSUMOS!E24</f>
        <v>178.99441699119109</v>
      </c>
    </row>
    <row r="243" spans="1:5" x14ac:dyDescent="0.25">
      <c r="A243" s="94" t="s">
        <v>560</v>
      </c>
      <c r="B243" s="78">
        <f>INSUMOS!B274</f>
        <v>1900000</v>
      </c>
      <c r="C243" s="104">
        <v>1</v>
      </c>
      <c r="D243" s="78">
        <f>C243*B243</f>
        <v>1900000</v>
      </c>
      <c r="E243" s="105" t="s">
        <v>232</v>
      </c>
    </row>
    <row r="244" spans="1:5" x14ac:dyDescent="0.25">
      <c r="A244" s="82"/>
      <c r="B244" s="83"/>
      <c r="C244" s="83" t="s">
        <v>122</v>
      </c>
      <c r="D244" s="83">
        <f>SUM(D241:D243)</f>
        <v>5696500</v>
      </c>
      <c r="E244" s="100">
        <f>SUM(E241:E243)</f>
        <v>201.99441699119109</v>
      </c>
    </row>
    <row r="246" spans="1:5" x14ac:dyDescent="0.25">
      <c r="A246" s="279" t="s">
        <v>564</v>
      </c>
      <c r="B246" s="279"/>
      <c r="C246" s="279"/>
      <c r="D246" s="279"/>
      <c r="E246" s="279"/>
    </row>
    <row r="247" spans="1:5" x14ac:dyDescent="0.25">
      <c r="A247" s="72" t="s">
        <v>92</v>
      </c>
      <c r="B247" s="72" t="s">
        <v>93</v>
      </c>
      <c r="C247" s="71" t="s">
        <v>227</v>
      </c>
      <c r="D247" s="71" t="s">
        <v>228</v>
      </c>
      <c r="E247" s="73" t="s">
        <v>229</v>
      </c>
    </row>
    <row r="248" spans="1:5" x14ac:dyDescent="0.25">
      <c r="A248" s="74" t="s">
        <v>379</v>
      </c>
      <c r="B248" s="75">
        <f>INSUMOS!B74</f>
        <v>212000</v>
      </c>
      <c r="C248" s="103">
        <v>1</v>
      </c>
      <c r="D248" s="75">
        <f>C248*B248</f>
        <v>212000</v>
      </c>
      <c r="E248" s="102">
        <f>INSUMOS!E74</f>
        <v>11.3</v>
      </c>
    </row>
    <row r="249" spans="1:5" x14ac:dyDescent="0.25">
      <c r="A249" s="77" t="s">
        <v>543</v>
      </c>
      <c r="B249" s="78">
        <f>INSUMOS!B9</f>
        <v>1267000</v>
      </c>
      <c r="C249" s="104">
        <v>0.4</v>
      </c>
      <c r="D249" s="78">
        <f>C249*B249</f>
        <v>506800</v>
      </c>
      <c r="E249" s="97">
        <f>C249*INSUMOS!E9</f>
        <v>57.278213437181137</v>
      </c>
    </row>
    <row r="250" spans="1:5" x14ac:dyDescent="0.25">
      <c r="A250" s="77" t="s">
        <v>498</v>
      </c>
      <c r="B250" s="78">
        <f>INSUMOS!B272</f>
        <v>1305000</v>
      </c>
      <c r="C250" s="104">
        <v>1</v>
      </c>
      <c r="D250" s="78">
        <f>C250*B250</f>
        <v>1305000</v>
      </c>
      <c r="E250" s="105" t="s">
        <v>232</v>
      </c>
    </row>
    <row r="251" spans="1:5" x14ac:dyDescent="0.25">
      <c r="A251" s="82"/>
      <c r="B251" s="83"/>
      <c r="C251" s="83" t="s">
        <v>122</v>
      </c>
      <c r="D251" s="83">
        <f>SUM(D248:D250)</f>
        <v>2023800</v>
      </c>
      <c r="E251" s="100">
        <f>SUM(E248:E250)</f>
        <v>68.578213437181134</v>
      </c>
    </row>
    <row r="253" spans="1:5" x14ac:dyDescent="0.25">
      <c r="A253" s="279" t="s">
        <v>565</v>
      </c>
      <c r="B253" s="279"/>
      <c r="C253" s="279"/>
      <c r="D253" s="279"/>
      <c r="E253" s="279"/>
    </row>
    <row r="254" spans="1:5" x14ac:dyDescent="0.25">
      <c r="A254" s="72" t="s">
        <v>92</v>
      </c>
      <c r="B254" s="72" t="s">
        <v>93</v>
      </c>
      <c r="C254" s="71" t="s">
        <v>227</v>
      </c>
      <c r="D254" s="71" t="s">
        <v>228</v>
      </c>
      <c r="E254" s="73" t="s">
        <v>229</v>
      </c>
    </row>
    <row r="255" spans="1:5" x14ac:dyDescent="0.25">
      <c r="A255" s="74" t="s">
        <v>349</v>
      </c>
      <c r="B255" s="75">
        <f>INSUMOS!B73</f>
        <v>148500</v>
      </c>
      <c r="C255" s="103">
        <v>1</v>
      </c>
      <c r="D255" s="75">
        <f>C255*B255</f>
        <v>148500</v>
      </c>
      <c r="E255" s="102">
        <f>INSUMOS!E73</f>
        <v>7</v>
      </c>
    </row>
    <row r="256" spans="1:5" x14ac:dyDescent="0.25">
      <c r="A256" s="94" t="s">
        <v>490</v>
      </c>
      <c r="B256" s="78">
        <f>INSUMOS!B8</f>
        <v>563000</v>
      </c>
      <c r="C256" s="104">
        <v>0.14000000000000001</v>
      </c>
      <c r="D256" s="78">
        <f>C256*B256</f>
        <v>78820.000000000015</v>
      </c>
      <c r="E256" s="97">
        <f>C256*INSUMOS!E21</f>
        <v>8.909944312450401</v>
      </c>
    </row>
    <row r="257" spans="1:5" x14ac:dyDescent="0.25">
      <c r="A257" s="94" t="s">
        <v>488</v>
      </c>
      <c r="B257" s="78">
        <f>INSUMOS!B271</f>
        <v>420000</v>
      </c>
      <c r="C257" s="104">
        <v>1</v>
      </c>
      <c r="D257" s="78">
        <f>C257*B257</f>
        <v>420000</v>
      </c>
      <c r="E257" s="105" t="s">
        <v>232</v>
      </c>
    </row>
    <row r="258" spans="1:5" x14ac:dyDescent="0.25">
      <c r="A258" s="82"/>
      <c r="B258" s="83"/>
      <c r="C258" s="83" t="s">
        <v>122</v>
      </c>
      <c r="D258" s="83">
        <f>SUM(D255:D257)</f>
        <v>647320</v>
      </c>
      <c r="E258" s="100">
        <f>SUM(E255:E257)</f>
        <v>15.909944312450401</v>
      </c>
    </row>
    <row r="260" spans="1:5" x14ac:dyDescent="0.25">
      <c r="A260" s="279" t="s">
        <v>566</v>
      </c>
      <c r="B260" s="279"/>
      <c r="C260" s="279"/>
      <c r="D260" s="279"/>
      <c r="E260" s="279"/>
    </row>
    <row r="261" spans="1:5" x14ac:dyDescent="0.25">
      <c r="A261" s="72" t="s">
        <v>92</v>
      </c>
      <c r="B261" s="72" t="s">
        <v>93</v>
      </c>
      <c r="C261" s="71" t="s">
        <v>227</v>
      </c>
      <c r="D261" s="71" t="s">
        <v>228</v>
      </c>
      <c r="E261" s="73" t="s">
        <v>229</v>
      </c>
    </row>
    <row r="262" spans="1:5" x14ac:dyDescent="0.25">
      <c r="A262" s="74" t="s">
        <v>349</v>
      </c>
      <c r="B262" s="75">
        <f>INSUMOS!B73</f>
        <v>148500</v>
      </c>
      <c r="C262" s="103">
        <v>1</v>
      </c>
      <c r="D262" s="75">
        <f>C262*B262</f>
        <v>148500</v>
      </c>
      <c r="E262" s="102">
        <f>INSUMOS!E73</f>
        <v>7</v>
      </c>
    </row>
    <row r="263" spans="1:5" x14ac:dyDescent="0.25">
      <c r="A263" s="94" t="s">
        <v>567</v>
      </c>
      <c r="B263" s="78">
        <f>INSUMOS!B8</f>
        <v>563000</v>
      </c>
      <c r="C263" s="104">
        <v>0.18</v>
      </c>
      <c r="D263" s="78">
        <f>C263*B263</f>
        <v>101340</v>
      </c>
      <c r="E263" s="97">
        <f>C263*INSUMOS!E8</f>
        <v>11.455642687436228</v>
      </c>
    </row>
    <row r="264" spans="1:5" x14ac:dyDescent="0.25">
      <c r="A264" s="94" t="s">
        <v>488</v>
      </c>
      <c r="B264" s="78">
        <f>INSUMOS!B271</f>
        <v>420000</v>
      </c>
      <c r="C264" s="104">
        <v>1</v>
      </c>
      <c r="D264" s="78">
        <f>C264*B264</f>
        <v>420000</v>
      </c>
      <c r="E264" s="105" t="s">
        <v>232</v>
      </c>
    </row>
    <row r="265" spans="1:5" x14ac:dyDescent="0.25">
      <c r="A265" s="82"/>
      <c r="B265" s="83"/>
      <c r="C265" s="83" t="s">
        <v>122</v>
      </c>
      <c r="D265" s="83">
        <f>SUM(D262:D264)</f>
        <v>669840</v>
      </c>
      <c r="E265" s="100">
        <f>SUM(E262:E264)</f>
        <v>18.455642687436228</v>
      </c>
    </row>
    <row r="267" spans="1:5" x14ac:dyDescent="0.25">
      <c r="A267" s="279" t="s">
        <v>68</v>
      </c>
      <c r="B267" s="279"/>
      <c r="C267" s="279"/>
      <c r="D267" s="279"/>
      <c r="E267" s="279"/>
    </row>
    <row r="268" spans="1:5" x14ac:dyDescent="0.25">
      <c r="A268" s="71" t="s">
        <v>92</v>
      </c>
      <c r="B268" s="71" t="s">
        <v>93</v>
      </c>
      <c r="C268" s="71" t="s">
        <v>227</v>
      </c>
      <c r="D268" s="71" t="s">
        <v>228</v>
      </c>
      <c r="E268" s="73" t="s">
        <v>229</v>
      </c>
    </row>
    <row r="269" spans="1:5" x14ac:dyDescent="0.25">
      <c r="A269" s="74" t="s">
        <v>349</v>
      </c>
      <c r="B269" s="75">
        <f>INSUMOS!B73</f>
        <v>148500</v>
      </c>
      <c r="C269" s="103">
        <v>1</v>
      </c>
      <c r="D269" s="75">
        <f>C269*B269</f>
        <v>148500</v>
      </c>
      <c r="E269" s="102">
        <f>INSUMOS!E73</f>
        <v>7</v>
      </c>
    </row>
    <row r="270" spans="1:5" x14ac:dyDescent="0.25">
      <c r="A270" s="94" t="s">
        <v>567</v>
      </c>
      <c r="B270" s="78">
        <f>INSUMOS!B8</f>
        <v>563000</v>
      </c>
      <c r="C270" s="104">
        <v>0.18</v>
      </c>
      <c r="D270" s="78">
        <f>C270*B270</f>
        <v>101340</v>
      </c>
      <c r="E270" s="97">
        <f>0.18*INSUMOS!E8</f>
        <v>11.455642687436228</v>
      </c>
    </row>
    <row r="271" spans="1:5" x14ac:dyDescent="0.25">
      <c r="A271" s="94" t="s">
        <v>488</v>
      </c>
      <c r="B271" s="78">
        <f>INSUMOS!B271</f>
        <v>420000</v>
      </c>
      <c r="C271" s="104">
        <v>1</v>
      </c>
      <c r="D271" s="78">
        <f>C271*B271</f>
        <v>420000</v>
      </c>
      <c r="E271" s="105" t="s">
        <v>232</v>
      </c>
    </row>
    <row r="272" spans="1:5" x14ac:dyDescent="0.25">
      <c r="A272" s="82"/>
      <c r="B272" s="83"/>
      <c r="C272" s="83" t="s">
        <v>122</v>
      </c>
      <c r="D272" s="83">
        <f>SUM(D269:D271)</f>
        <v>669840</v>
      </c>
      <c r="E272" s="100">
        <f>SUM(E269:E271)</f>
        <v>18.455642687436228</v>
      </c>
    </row>
    <row r="274" spans="1:5" x14ac:dyDescent="0.25">
      <c r="A274" s="279" t="s">
        <v>568</v>
      </c>
      <c r="B274" s="279"/>
      <c r="C274" s="279"/>
      <c r="D274" s="279"/>
      <c r="E274" s="279"/>
    </row>
    <row r="275" spans="1:5" x14ac:dyDescent="0.25">
      <c r="A275" s="72" t="s">
        <v>92</v>
      </c>
      <c r="B275" s="72" t="s">
        <v>93</v>
      </c>
      <c r="C275" s="71" t="s">
        <v>227</v>
      </c>
      <c r="D275" s="71" t="s">
        <v>228</v>
      </c>
      <c r="E275" s="73" t="s">
        <v>229</v>
      </c>
    </row>
    <row r="276" spans="1:5" x14ac:dyDescent="0.25">
      <c r="A276" s="74" t="s">
        <v>349</v>
      </c>
      <c r="B276" s="75">
        <f>INSUMOS!B73</f>
        <v>148500</v>
      </c>
      <c r="C276" s="103">
        <v>1</v>
      </c>
      <c r="D276" s="75">
        <f>C276*B276</f>
        <v>148500</v>
      </c>
      <c r="E276" s="102">
        <f>INSUMOS!E73</f>
        <v>7</v>
      </c>
    </row>
    <row r="277" spans="1:5" x14ac:dyDescent="0.25">
      <c r="A277" s="77" t="s">
        <v>569</v>
      </c>
      <c r="B277" s="78">
        <f>INSUMOS!B8</f>
        <v>563000</v>
      </c>
      <c r="C277" s="104">
        <v>0.12</v>
      </c>
      <c r="D277" s="78">
        <f>C277*B277</f>
        <v>67560</v>
      </c>
      <c r="E277" s="97">
        <f>C277*INSUMOS!E8</f>
        <v>7.6370951249574848</v>
      </c>
    </row>
    <row r="278" spans="1:5" x14ac:dyDescent="0.25">
      <c r="A278" s="77" t="s">
        <v>488</v>
      </c>
      <c r="B278" s="78">
        <f>INSUMOS!B271</f>
        <v>420000</v>
      </c>
      <c r="C278" s="104">
        <v>1</v>
      </c>
      <c r="D278" s="78">
        <f>C278*B278</f>
        <v>420000</v>
      </c>
      <c r="E278" s="105" t="s">
        <v>232</v>
      </c>
    </row>
    <row r="279" spans="1:5" x14ac:dyDescent="0.25">
      <c r="A279" s="82"/>
      <c r="B279" s="83"/>
      <c r="C279" s="83" t="s">
        <v>122</v>
      </c>
      <c r="D279" s="83">
        <f>SUM(D276:D278)</f>
        <v>636060</v>
      </c>
      <c r="E279" s="100">
        <f>SUM(E276:E278)</f>
        <v>14.637095124957485</v>
      </c>
    </row>
    <row r="281" spans="1:5" x14ac:dyDescent="0.25">
      <c r="A281" s="279" t="s">
        <v>570</v>
      </c>
      <c r="B281" s="279"/>
      <c r="C281" s="279"/>
      <c r="D281" s="279"/>
      <c r="E281" s="279"/>
    </row>
    <row r="282" spans="1:5" x14ac:dyDescent="0.25">
      <c r="A282" s="72" t="s">
        <v>92</v>
      </c>
      <c r="B282" s="72" t="s">
        <v>93</v>
      </c>
      <c r="C282" s="71" t="s">
        <v>227</v>
      </c>
      <c r="D282" s="71" t="s">
        <v>228</v>
      </c>
      <c r="E282" s="73" t="s">
        <v>229</v>
      </c>
    </row>
    <row r="283" spans="1:5" x14ac:dyDescent="0.25">
      <c r="A283" s="74" t="s">
        <v>549</v>
      </c>
      <c r="B283" s="75">
        <f>INSUMOS!B89</f>
        <v>130000</v>
      </c>
      <c r="C283" s="103">
        <v>1</v>
      </c>
      <c r="D283" s="75">
        <f>C283*B283</f>
        <v>130000</v>
      </c>
      <c r="E283" s="102">
        <f>INSUMOS!E89</f>
        <v>3.28</v>
      </c>
    </row>
    <row r="284" spans="1:5" x14ac:dyDescent="0.25">
      <c r="A284" s="94" t="s">
        <v>571</v>
      </c>
      <c r="B284" s="78">
        <f>INSUMOS!B19</f>
        <v>461000</v>
      </c>
      <c r="C284" s="104">
        <v>0.11</v>
      </c>
      <c r="D284" s="78">
        <f>C284*B284</f>
        <v>50710</v>
      </c>
      <c r="E284" s="97">
        <f>C284*INSUMOS!E19</f>
        <v>3.9378771738062031</v>
      </c>
    </row>
    <row r="285" spans="1:5" x14ac:dyDescent="0.25">
      <c r="A285" s="94" t="s">
        <v>502</v>
      </c>
      <c r="B285" s="78">
        <f>INSUMOS!B269</f>
        <v>300000</v>
      </c>
      <c r="C285" s="104">
        <v>1</v>
      </c>
      <c r="D285" s="78">
        <f>C285*B285</f>
        <v>300000</v>
      </c>
      <c r="E285" s="106"/>
    </row>
    <row r="286" spans="1:5" x14ac:dyDescent="0.25">
      <c r="A286" s="82"/>
      <c r="B286" s="83"/>
      <c r="C286" s="83" t="s">
        <v>122</v>
      </c>
      <c r="D286" s="83">
        <f>SUM(D283:D285)</f>
        <v>480710</v>
      </c>
      <c r="E286" s="100">
        <f>SUM(E283:E285)</f>
        <v>7.2178771738062029</v>
      </c>
    </row>
    <row r="288" spans="1:5" x14ac:dyDescent="0.25">
      <c r="A288" s="279" t="s">
        <v>572</v>
      </c>
      <c r="B288" s="279"/>
      <c r="C288" s="279"/>
      <c r="D288" s="279"/>
      <c r="E288" s="279"/>
    </row>
    <row r="289" spans="1:5" x14ac:dyDescent="0.25">
      <c r="A289" s="72" t="s">
        <v>92</v>
      </c>
      <c r="B289" s="72" t="s">
        <v>93</v>
      </c>
      <c r="C289" s="71" t="s">
        <v>227</v>
      </c>
      <c r="D289" s="71" t="s">
        <v>228</v>
      </c>
      <c r="E289" s="73" t="s">
        <v>229</v>
      </c>
    </row>
    <row r="290" spans="1:5" x14ac:dyDescent="0.25">
      <c r="A290" s="74" t="s">
        <v>379</v>
      </c>
      <c r="B290" s="75">
        <f>INSUMOS!B74</f>
        <v>212000</v>
      </c>
      <c r="C290" s="103">
        <v>1</v>
      </c>
      <c r="D290" s="75">
        <f>C290*B290</f>
        <v>212000</v>
      </c>
      <c r="E290" s="102">
        <f>INSUMOS!E74</f>
        <v>11.3</v>
      </c>
    </row>
    <row r="291" spans="1:5" x14ac:dyDescent="0.25">
      <c r="A291" s="77" t="s">
        <v>573</v>
      </c>
      <c r="B291" s="78">
        <f>INSUMOS!B9</f>
        <v>1267000</v>
      </c>
      <c r="C291" s="104">
        <v>0.3</v>
      </c>
      <c r="D291" s="78">
        <f>C291*B291</f>
        <v>380100</v>
      </c>
      <c r="E291" s="97">
        <f>INSUMOS!E9*C291</f>
        <v>42.958660077885853</v>
      </c>
    </row>
    <row r="292" spans="1:5" x14ac:dyDescent="0.25">
      <c r="A292" s="77" t="s">
        <v>498</v>
      </c>
      <c r="B292" s="78">
        <f>INSUMOS!B272</f>
        <v>1305000</v>
      </c>
      <c r="C292" s="104">
        <v>1</v>
      </c>
      <c r="D292" s="78">
        <f>C292*B292</f>
        <v>1305000</v>
      </c>
      <c r="E292" s="105" t="s">
        <v>232</v>
      </c>
    </row>
    <row r="293" spans="1:5" x14ac:dyDescent="0.25">
      <c r="A293" s="82"/>
      <c r="B293" s="83"/>
      <c r="C293" s="83" t="s">
        <v>122</v>
      </c>
      <c r="D293" s="83">
        <f>SUM(D290:D292)</f>
        <v>1897100</v>
      </c>
      <c r="E293" s="100">
        <f>SUM(E290:E292)</f>
        <v>54.25866007788585</v>
      </c>
    </row>
    <row r="295" spans="1:5" x14ac:dyDescent="0.25">
      <c r="A295" s="279" t="s">
        <v>574</v>
      </c>
      <c r="B295" s="279"/>
      <c r="C295" s="279"/>
      <c r="D295" s="279"/>
      <c r="E295" s="279"/>
    </row>
    <row r="296" spans="1:5" x14ac:dyDescent="0.25">
      <c r="A296" s="72" t="s">
        <v>92</v>
      </c>
      <c r="B296" s="72" t="s">
        <v>93</v>
      </c>
      <c r="C296" s="71" t="s">
        <v>227</v>
      </c>
      <c r="D296" s="71" t="s">
        <v>228</v>
      </c>
      <c r="E296" s="73" t="s">
        <v>229</v>
      </c>
    </row>
    <row r="297" spans="1:5" x14ac:dyDescent="0.25">
      <c r="A297" s="74" t="s">
        <v>376</v>
      </c>
      <c r="B297" s="75">
        <f>INSUMOS!B92</f>
        <v>330000</v>
      </c>
      <c r="C297" s="103">
        <v>1</v>
      </c>
      <c r="D297" s="75">
        <f>C297*B297</f>
        <v>330000</v>
      </c>
      <c r="E297" s="102">
        <f>INSUMOS!E92</f>
        <v>11.3</v>
      </c>
    </row>
    <row r="298" spans="1:5" x14ac:dyDescent="0.25">
      <c r="A298" s="77" t="s">
        <v>575</v>
      </c>
      <c r="B298" s="78">
        <f>INSUMOS!B22</f>
        <v>1944000</v>
      </c>
      <c r="C298" s="104">
        <v>0.27</v>
      </c>
      <c r="D298" s="78">
        <f>C298*B298</f>
        <v>524880</v>
      </c>
      <c r="E298" s="97">
        <f>0.27*INSUMOS!E22</f>
        <v>38.664000000000001</v>
      </c>
    </row>
    <row r="299" spans="1:5" x14ac:dyDescent="0.25">
      <c r="A299" s="77" t="s">
        <v>498</v>
      </c>
      <c r="B299" s="78">
        <f>INSUMOS!B272</f>
        <v>1305000</v>
      </c>
      <c r="C299" s="104">
        <v>1</v>
      </c>
      <c r="D299" s="78">
        <f>C299*B299</f>
        <v>1305000</v>
      </c>
      <c r="E299" s="105" t="s">
        <v>232</v>
      </c>
    </row>
    <row r="300" spans="1:5" x14ac:dyDescent="0.25">
      <c r="A300" s="82"/>
      <c r="B300" s="83"/>
      <c r="C300" s="83" t="s">
        <v>122</v>
      </c>
      <c r="D300" s="83">
        <f>SUM(D297:D299)</f>
        <v>2159880</v>
      </c>
      <c r="E300" s="100">
        <f>SUM(E297:E299)</f>
        <v>49.963999999999999</v>
      </c>
    </row>
    <row r="302" spans="1:5" x14ac:dyDescent="0.25">
      <c r="A302" s="279" t="s">
        <v>576</v>
      </c>
      <c r="B302" s="279"/>
      <c r="C302" s="279"/>
      <c r="D302" s="279"/>
      <c r="E302" s="279"/>
    </row>
    <row r="303" spans="1:5" x14ac:dyDescent="0.25">
      <c r="A303" s="72" t="s">
        <v>92</v>
      </c>
      <c r="B303" s="72" t="s">
        <v>93</v>
      </c>
      <c r="C303" s="71" t="s">
        <v>227</v>
      </c>
      <c r="D303" s="71" t="s">
        <v>228</v>
      </c>
      <c r="E303" s="73" t="s">
        <v>229</v>
      </c>
    </row>
    <row r="304" spans="1:5" x14ac:dyDescent="0.25">
      <c r="A304" s="74" t="s">
        <v>460</v>
      </c>
      <c r="B304" s="75">
        <f>INSUMOS!B88</f>
        <v>120000</v>
      </c>
      <c r="C304" s="103">
        <v>1</v>
      </c>
      <c r="D304" s="75">
        <f>C304*B304</f>
        <v>120000</v>
      </c>
      <c r="E304" s="102">
        <f>INSUMOS!E88</f>
        <v>3</v>
      </c>
    </row>
    <row r="305" spans="1:5" x14ac:dyDescent="0.25">
      <c r="A305" s="94" t="s">
        <v>577</v>
      </c>
      <c r="B305" s="78">
        <f>INSUMOS!B18</f>
        <v>322000</v>
      </c>
      <c r="C305" s="104">
        <v>0.08</v>
      </c>
      <c r="D305" s="78">
        <f>C305*B305</f>
        <v>25760</v>
      </c>
      <c r="E305" s="97">
        <f>C305*INSUMOS!E18</f>
        <v>1.9888268554576789</v>
      </c>
    </row>
    <row r="306" spans="1:5" x14ac:dyDescent="0.25">
      <c r="A306" s="94" t="s">
        <v>518</v>
      </c>
      <c r="B306" s="78">
        <f>INSUMOS!B268</f>
        <v>250000</v>
      </c>
      <c r="C306" s="104">
        <v>1</v>
      </c>
      <c r="D306" s="78">
        <f>C306*B306</f>
        <v>250000</v>
      </c>
      <c r="E306" s="106"/>
    </row>
    <row r="307" spans="1:5" x14ac:dyDescent="0.25">
      <c r="A307" s="82"/>
      <c r="B307" s="83"/>
      <c r="C307" s="83" t="s">
        <v>122</v>
      </c>
      <c r="D307" s="83">
        <f>SUM(D304:D306)</f>
        <v>395760</v>
      </c>
      <c r="E307" s="100">
        <f>SUM(E304:E306)</f>
        <v>4.9888268554576793</v>
      </c>
    </row>
    <row r="309" spans="1:5" x14ac:dyDescent="0.25">
      <c r="A309" s="279" t="s">
        <v>578</v>
      </c>
      <c r="B309" s="279"/>
      <c r="C309" s="279"/>
      <c r="D309" s="279"/>
      <c r="E309" s="279"/>
    </row>
    <row r="310" spans="1:5" x14ac:dyDescent="0.25">
      <c r="A310" s="72" t="s">
        <v>92</v>
      </c>
      <c r="B310" s="72" t="s">
        <v>93</v>
      </c>
      <c r="C310" s="71" t="s">
        <v>227</v>
      </c>
      <c r="D310" s="71" t="s">
        <v>228</v>
      </c>
      <c r="E310" s="73" t="s">
        <v>229</v>
      </c>
    </row>
    <row r="311" spans="1:5" x14ac:dyDescent="0.25">
      <c r="A311" s="74" t="s">
        <v>345</v>
      </c>
      <c r="B311" s="75">
        <f>INSUMOS!B72</f>
        <v>98250</v>
      </c>
      <c r="C311" s="103">
        <v>1</v>
      </c>
      <c r="D311" s="75">
        <f>C311*B311</f>
        <v>98250</v>
      </c>
      <c r="E311" s="102">
        <f>INSUMOS!E72</f>
        <v>4.93</v>
      </c>
    </row>
    <row r="312" spans="1:5" x14ac:dyDescent="0.25">
      <c r="A312" s="94" t="s">
        <v>579</v>
      </c>
      <c r="B312" s="78">
        <f>INSUMOS!B7</f>
        <v>461000</v>
      </c>
      <c r="C312" s="104">
        <v>0.17</v>
      </c>
      <c r="D312" s="78">
        <f>C312*B312</f>
        <v>78370</v>
      </c>
      <c r="E312" s="97">
        <f>C312*INSUMOS!E7</f>
        <v>6.0858101777004965</v>
      </c>
    </row>
    <row r="313" spans="1:5" x14ac:dyDescent="0.25">
      <c r="A313" s="94" t="s">
        <v>493</v>
      </c>
      <c r="B313" s="78">
        <f>INSUMOS!B270</f>
        <v>395000</v>
      </c>
      <c r="C313" s="104">
        <v>1</v>
      </c>
      <c r="D313" s="78">
        <f>C313*B313</f>
        <v>395000</v>
      </c>
      <c r="E313" s="106" t="s">
        <v>232</v>
      </c>
    </row>
    <row r="314" spans="1:5" x14ac:dyDescent="0.25">
      <c r="A314" s="82"/>
      <c r="B314" s="83"/>
      <c r="C314" s="83" t="s">
        <v>122</v>
      </c>
      <c r="D314" s="83">
        <f>SUM(D311:D313)</f>
        <v>571620</v>
      </c>
      <c r="E314" s="100">
        <f>SUM(E311:E313)</f>
        <v>11.015810177700496</v>
      </c>
    </row>
    <row r="316" spans="1:5" x14ac:dyDescent="0.25">
      <c r="A316" s="279" t="s">
        <v>580</v>
      </c>
      <c r="B316" s="279"/>
      <c r="C316" s="279"/>
      <c r="D316" s="279"/>
      <c r="E316" s="279"/>
    </row>
    <row r="317" spans="1:5" x14ac:dyDescent="0.25">
      <c r="A317" s="72" t="s">
        <v>92</v>
      </c>
      <c r="B317" s="72" t="s">
        <v>93</v>
      </c>
      <c r="C317" s="71" t="s">
        <v>227</v>
      </c>
      <c r="D317" s="71" t="s">
        <v>228</v>
      </c>
      <c r="E317" s="73" t="s">
        <v>229</v>
      </c>
    </row>
    <row r="318" spans="1:5" x14ac:dyDescent="0.25">
      <c r="A318" s="74" t="s">
        <v>409</v>
      </c>
      <c r="B318" s="75">
        <f>INSUMOS!B90</f>
        <v>209000.00000000003</v>
      </c>
      <c r="C318" s="103">
        <v>1</v>
      </c>
      <c r="D318" s="75">
        <f>C318*B318</f>
        <v>209000.00000000003</v>
      </c>
      <c r="E318" s="102">
        <f>INSUMOS!E90</f>
        <v>4.93</v>
      </c>
    </row>
    <row r="319" spans="1:5" x14ac:dyDescent="0.25">
      <c r="A319" s="94" t="s">
        <v>581</v>
      </c>
      <c r="B319" s="78">
        <f>INSUMOS!B19</f>
        <v>461000</v>
      </c>
      <c r="C319" s="104">
        <v>0.17</v>
      </c>
      <c r="D319" s="78">
        <f>C319*B319</f>
        <v>78370</v>
      </c>
      <c r="E319" s="97">
        <f>C319*INSUMOS!E19</f>
        <v>6.0858101777004965</v>
      </c>
    </row>
    <row r="320" spans="1:5" x14ac:dyDescent="0.25">
      <c r="A320" s="94" t="s">
        <v>493</v>
      </c>
      <c r="B320" s="78">
        <f>B313</f>
        <v>395000</v>
      </c>
      <c r="C320" s="104">
        <v>1</v>
      </c>
      <c r="D320" s="78">
        <f>C320*B320</f>
        <v>395000</v>
      </c>
      <c r="E320" s="106" t="s">
        <v>232</v>
      </c>
    </row>
    <row r="321" spans="1:5" x14ac:dyDescent="0.25">
      <c r="A321" s="82"/>
      <c r="B321" s="83"/>
      <c r="C321" s="83" t="s">
        <v>122</v>
      </c>
      <c r="D321" s="83">
        <f>SUM(D318:D320)</f>
        <v>682370</v>
      </c>
      <c r="E321" s="100">
        <f>SUM(E318:E320)</f>
        <v>11.015810177700496</v>
      </c>
    </row>
    <row r="323" spans="1:5" x14ac:dyDescent="0.25">
      <c r="A323" s="279" t="s">
        <v>582</v>
      </c>
      <c r="B323" s="279"/>
      <c r="C323" s="279"/>
      <c r="D323" s="279"/>
      <c r="E323" s="279"/>
    </row>
    <row r="324" spans="1:5" x14ac:dyDescent="0.25">
      <c r="A324" s="72" t="s">
        <v>92</v>
      </c>
      <c r="B324" s="72" t="s">
        <v>93</v>
      </c>
      <c r="C324" s="71" t="s">
        <v>227</v>
      </c>
      <c r="D324" s="71" t="s">
        <v>228</v>
      </c>
      <c r="E324" s="73" t="s">
        <v>229</v>
      </c>
    </row>
    <row r="325" spans="1:5" x14ac:dyDescent="0.25">
      <c r="A325" s="74" t="s">
        <v>583</v>
      </c>
      <c r="B325" s="75">
        <f>INSUMOS!B87</f>
        <v>80000</v>
      </c>
      <c r="C325" s="103">
        <v>1</v>
      </c>
      <c r="D325" s="75">
        <f>C325*B325</f>
        <v>80000</v>
      </c>
      <c r="E325" s="102">
        <f>INSUMOS!E87</f>
        <v>2</v>
      </c>
    </row>
    <row r="326" spans="1:5" x14ac:dyDescent="0.25">
      <c r="A326" s="94" t="s">
        <v>584</v>
      </c>
      <c r="B326" s="78">
        <f>INSUMOS!B16</f>
        <v>240000</v>
      </c>
      <c r="C326" s="104">
        <v>0.11</v>
      </c>
      <c r="D326" s="78">
        <f>C326*B326</f>
        <v>26400</v>
      </c>
      <c r="E326" s="97">
        <f>C326*INSUMOS!E16</f>
        <v>1.7501676328027571</v>
      </c>
    </row>
    <row r="327" spans="1:5" x14ac:dyDescent="0.25">
      <c r="A327" s="94" t="s">
        <v>536</v>
      </c>
      <c r="B327" s="78">
        <f>INSUMOS!B267</f>
        <v>230000</v>
      </c>
      <c r="C327" s="104">
        <v>1</v>
      </c>
      <c r="D327" s="78">
        <f>C327*B327</f>
        <v>230000</v>
      </c>
      <c r="E327" s="106"/>
    </row>
    <row r="328" spans="1:5" x14ac:dyDescent="0.25">
      <c r="A328" s="82"/>
      <c r="B328" s="83"/>
      <c r="C328" s="83" t="s">
        <v>122</v>
      </c>
      <c r="D328" s="83">
        <f>SUM(D325:D327)</f>
        <v>336400</v>
      </c>
      <c r="E328" s="100">
        <f>SUM(E325:E327)</f>
        <v>3.7501676328027571</v>
      </c>
    </row>
    <row r="330" spans="1:5" x14ac:dyDescent="0.25">
      <c r="A330" s="279" t="s">
        <v>585</v>
      </c>
      <c r="B330" s="279"/>
      <c r="C330" s="279"/>
      <c r="D330" s="279"/>
      <c r="E330" s="279"/>
    </row>
    <row r="331" spans="1:5" x14ac:dyDescent="0.25">
      <c r="A331" s="72" t="s">
        <v>92</v>
      </c>
      <c r="B331" s="72" t="s">
        <v>93</v>
      </c>
      <c r="C331" s="71" t="s">
        <v>227</v>
      </c>
      <c r="D331" s="71" t="s">
        <v>228</v>
      </c>
      <c r="E331" s="73" t="s">
        <v>229</v>
      </c>
    </row>
    <row r="332" spans="1:5" x14ac:dyDescent="0.25">
      <c r="A332" s="74" t="s">
        <v>534</v>
      </c>
      <c r="B332" s="75">
        <f>INSUMOS!B69</f>
        <v>65000</v>
      </c>
      <c r="C332" s="103">
        <v>1</v>
      </c>
      <c r="D332" s="75">
        <f>C332*B332</f>
        <v>65000</v>
      </c>
      <c r="E332" s="102">
        <f>INSUMOS!E69</f>
        <v>2</v>
      </c>
    </row>
    <row r="333" spans="1:5" x14ac:dyDescent="0.25">
      <c r="A333" s="94" t="s">
        <v>535</v>
      </c>
      <c r="B333" s="78">
        <f>INSUMOS!B5</f>
        <v>154000</v>
      </c>
      <c r="C333" s="104">
        <v>0.11</v>
      </c>
      <c r="D333" s="78">
        <f>C333*B333</f>
        <v>16940</v>
      </c>
      <c r="E333" s="97">
        <f>INSUMOS!E5</f>
        <v>15.910614843661428</v>
      </c>
    </row>
    <row r="334" spans="1:5" x14ac:dyDescent="0.25">
      <c r="A334" s="94" t="s">
        <v>536</v>
      </c>
      <c r="B334" s="78">
        <f>INSUMOS!B267</f>
        <v>230000</v>
      </c>
      <c r="C334" s="104">
        <v>1</v>
      </c>
      <c r="D334" s="78">
        <f>C334*B334</f>
        <v>230000</v>
      </c>
      <c r="E334" s="106"/>
    </row>
    <row r="335" spans="1:5" x14ac:dyDescent="0.25">
      <c r="A335" s="82"/>
      <c r="B335" s="83"/>
      <c r="C335" s="83" t="s">
        <v>122</v>
      </c>
      <c r="D335" s="83">
        <f>SUM(D332:D334)</f>
        <v>311940</v>
      </c>
      <c r="E335" s="100">
        <f>SUM(E332:E334)</f>
        <v>17.910614843661428</v>
      </c>
    </row>
    <row r="337" spans="1:5" x14ac:dyDescent="0.25">
      <c r="A337" s="279" t="s">
        <v>586</v>
      </c>
      <c r="B337" s="279"/>
      <c r="C337" s="279"/>
      <c r="D337" s="279"/>
      <c r="E337" s="279"/>
    </row>
    <row r="338" spans="1:5" x14ac:dyDescent="0.25">
      <c r="A338" s="72" t="s">
        <v>92</v>
      </c>
      <c r="B338" s="72" t="s">
        <v>93</v>
      </c>
      <c r="C338" s="71" t="s">
        <v>227</v>
      </c>
      <c r="D338" s="71" t="s">
        <v>228</v>
      </c>
      <c r="E338" s="73" t="s">
        <v>229</v>
      </c>
    </row>
    <row r="339" spans="1:5" x14ac:dyDescent="0.25">
      <c r="A339" s="74" t="s">
        <v>501</v>
      </c>
      <c r="B339" s="75">
        <f>INSUMOS!B71</f>
        <v>80000</v>
      </c>
      <c r="C339" s="103">
        <v>1</v>
      </c>
      <c r="D339" s="75">
        <f>C339*B339</f>
        <v>80000</v>
      </c>
      <c r="E339" s="102">
        <f>INSUMOS!E71</f>
        <v>3</v>
      </c>
    </row>
    <row r="340" spans="1:5" x14ac:dyDescent="0.25">
      <c r="A340" s="94" t="s">
        <v>587</v>
      </c>
      <c r="B340" s="78">
        <f>INSUMOS!B7</f>
        <v>461000</v>
      </c>
      <c r="C340" s="104">
        <v>0.15</v>
      </c>
      <c r="D340" s="78">
        <f>C340*B340</f>
        <v>69150</v>
      </c>
      <c r="E340" s="97">
        <f>0.15*INSUMOS!E7</f>
        <v>5.3698325097357316</v>
      </c>
    </row>
    <row r="341" spans="1:5" x14ac:dyDescent="0.25">
      <c r="A341" s="94" t="s">
        <v>502</v>
      </c>
      <c r="B341" s="78">
        <f>INSUMOS!B269</f>
        <v>300000</v>
      </c>
      <c r="C341" s="104">
        <v>1</v>
      </c>
      <c r="D341" s="78">
        <f>C341*B341</f>
        <v>300000</v>
      </c>
      <c r="E341" s="106"/>
    </row>
    <row r="342" spans="1:5" x14ac:dyDescent="0.25">
      <c r="A342" s="82"/>
      <c r="B342" s="83"/>
      <c r="C342" s="83" t="s">
        <v>122</v>
      </c>
      <c r="D342" s="83">
        <f>SUM(D339:D341)</f>
        <v>449150</v>
      </c>
      <c r="E342" s="100">
        <f>SUM(E339:E341)</f>
        <v>8.3698325097357316</v>
      </c>
    </row>
    <row r="344" spans="1:5" x14ac:dyDescent="0.25">
      <c r="A344" s="279" t="s">
        <v>588</v>
      </c>
      <c r="B344" s="279"/>
      <c r="C344" s="279"/>
      <c r="D344" s="279"/>
      <c r="E344" s="279"/>
    </row>
    <row r="345" spans="1:5" x14ac:dyDescent="0.25">
      <c r="A345" s="72" t="s">
        <v>92</v>
      </c>
      <c r="B345" s="72" t="s">
        <v>93</v>
      </c>
      <c r="C345" s="71" t="s">
        <v>227</v>
      </c>
      <c r="D345" s="71" t="s">
        <v>228</v>
      </c>
      <c r="E345" s="73" t="s">
        <v>229</v>
      </c>
    </row>
    <row r="346" spans="1:5" x14ac:dyDescent="0.25">
      <c r="A346" s="74" t="s">
        <v>589</v>
      </c>
      <c r="B346" s="75">
        <f>INSUMOS!B68</f>
        <v>60000</v>
      </c>
      <c r="C346" s="103">
        <v>1</v>
      </c>
      <c r="D346" s="75">
        <f>C346*B346</f>
        <v>60000</v>
      </c>
      <c r="E346" s="102">
        <f>INSUMOS!E68</f>
        <v>1.7</v>
      </c>
    </row>
    <row r="347" spans="1:5" x14ac:dyDescent="0.25">
      <c r="A347" s="94" t="s">
        <v>535</v>
      </c>
      <c r="B347" s="78">
        <f>INSUMOS!B5</f>
        <v>154000</v>
      </c>
      <c r="C347" s="104">
        <v>0.11</v>
      </c>
      <c r="D347" s="78">
        <f>C347*B347</f>
        <v>16940</v>
      </c>
      <c r="E347" s="97">
        <f>C347*INSUMOS!E3</f>
        <v>0.68365923156357711</v>
      </c>
    </row>
    <row r="348" spans="1:5" x14ac:dyDescent="0.25">
      <c r="A348" s="94" t="s">
        <v>590</v>
      </c>
      <c r="B348" s="78">
        <f>INSUMOS!B266</f>
        <v>230000</v>
      </c>
      <c r="C348" s="104">
        <v>1</v>
      </c>
      <c r="D348" s="78">
        <f>C348*B348</f>
        <v>230000</v>
      </c>
      <c r="E348" s="106"/>
    </row>
    <row r="349" spans="1:5" x14ac:dyDescent="0.25">
      <c r="A349" s="82"/>
      <c r="B349" s="83"/>
      <c r="C349" s="83" t="s">
        <v>122</v>
      </c>
      <c r="D349" s="83">
        <f>SUM(D346:D348)</f>
        <v>306940</v>
      </c>
      <c r="E349" s="100">
        <f>SUM(E346:E348)</f>
        <v>2.383659231563577</v>
      </c>
    </row>
    <row r="351" spans="1:5" x14ac:dyDescent="0.25">
      <c r="A351" s="279" t="s">
        <v>591</v>
      </c>
      <c r="B351" s="279"/>
      <c r="C351" s="279"/>
      <c r="D351" s="279"/>
      <c r="E351" s="279"/>
    </row>
    <row r="352" spans="1:5" x14ac:dyDescent="0.25">
      <c r="A352" s="72" t="s">
        <v>92</v>
      </c>
      <c r="B352" s="72" t="s">
        <v>93</v>
      </c>
      <c r="C352" s="71" t="s">
        <v>227</v>
      </c>
      <c r="D352" s="71" t="s">
        <v>228</v>
      </c>
      <c r="E352" s="73" t="s">
        <v>229</v>
      </c>
    </row>
    <row r="353" spans="1:5" x14ac:dyDescent="0.25">
      <c r="A353" s="74" t="s">
        <v>534</v>
      </c>
      <c r="B353" s="75">
        <f>INSUMOS!B69</f>
        <v>65000</v>
      </c>
      <c r="C353" s="103">
        <v>1</v>
      </c>
      <c r="D353" s="75">
        <f>C353*B353</f>
        <v>65000</v>
      </c>
      <c r="E353" s="102">
        <f>INSUMOS!E69</f>
        <v>2</v>
      </c>
    </row>
    <row r="354" spans="1:5" x14ac:dyDescent="0.25">
      <c r="A354" s="94" t="s">
        <v>535</v>
      </c>
      <c r="B354" s="78">
        <f>INSUMOS!B5</f>
        <v>154000</v>
      </c>
      <c r="C354" s="104">
        <v>0.11</v>
      </c>
      <c r="D354" s="78">
        <f>C354*B354</f>
        <v>16940</v>
      </c>
      <c r="E354" s="97">
        <f>C354*INSUMOS!E5</f>
        <v>1.7501676328027571</v>
      </c>
    </row>
    <row r="355" spans="1:5" x14ac:dyDescent="0.25">
      <c r="A355" s="94" t="s">
        <v>536</v>
      </c>
      <c r="B355" s="78">
        <f>INSUMOS!B267</f>
        <v>230000</v>
      </c>
      <c r="C355" s="104">
        <v>1</v>
      </c>
      <c r="D355" s="78">
        <f>C355*B355</f>
        <v>230000</v>
      </c>
      <c r="E355" s="106"/>
    </row>
    <row r="356" spans="1:5" x14ac:dyDescent="0.25">
      <c r="A356" s="82"/>
      <c r="B356" s="83"/>
      <c r="C356" s="83" t="s">
        <v>122</v>
      </c>
      <c r="D356" s="83">
        <f>SUM(D353:D355)</f>
        <v>311940</v>
      </c>
      <c r="E356" s="100">
        <f>SUM(E353:E355)</f>
        <v>3.7501676328027571</v>
      </c>
    </row>
    <row r="358" spans="1:5" x14ac:dyDescent="0.25">
      <c r="A358" s="279" t="s">
        <v>592</v>
      </c>
      <c r="B358" s="279"/>
      <c r="C358" s="279"/>
      <c r="D358" s="279"/>
      <c r="E358" s="279"/>
    </row>
    <row r="359" spans="1:5" x14ac:dyDescent="0.25">
      <c r="A359" s="72" t="s">
        <v>92</v>
      </c>
      <c r="B359" s="72" t="s">
        <v>93</v>
      </c>
      <c r="C359" s="71" t="s">
        <v>227</v>
      </c>
      <c r="D359" s="71" t="s">
        <v>228</v>
      </c>
      <c r="E359" s="73" t="s">
        <v>229</v>
      </c>
    </row>
    <row r="360" spans="1:5" x14ac:dyDescent="0.25">
      <c r="A360" s="74" t="s">
        <v>534</v>
      </c>
      <c r="B360" s="75">
        <f>INSUMOS!B69</f>
        <v>65000</v>
      </c>
      <c r="C360" s="103">
        <v>1</v>
      </c>
      <c r="D360" s="75">
        <f>C360*B360</f>
        <v>65000</v>
      </c>
      <c r="E360" s="102">
        <f>INSUMOS!E69</f>
        <v>2</v>
      </c>
    </row>
    <row r="361" spans="1:5" x14ac:dyDescent="0.25">
      <c r="A361" s="94" t="s">
        <v>535</v>
      </c>
      <c r="B361" s="78">
        <f>INSUMOS!B5</f>
        <v>154000</v>
      </c>
      <c r="C361" s="104">
        <v>0.11</v>
      </c>
      <c r="D361" s="78">
        <f>C361*B361</f>
        <v>16940</v>
      </c>
      <c r="E361" s="97">
        <f>C361*INSUMOS!E5</f>
        <v>1.7501676328027571</v>
      </c>
    </row>
    <row r="362" spans="1:5" x14ac:dyDescent="0.25">
      <c r="A362" s="94" t="s">
        <v>536</v>
      </c>
      <c r="B362" s="78">
        <f>INSUMOS!B267</f>
        <v>230000</v>
      </c>
      <c r="C362" s="104">
        <v>1</v>
      </c>
      <c r="D362" s="78">
        <f>C362*B362</f>
        <v>230000</v>
      </c>
      <c r="E362" s="106"/>
    </row>
    <row r="363" spans="1:5" x14ac:dyDescent="0.25">
      <c r="A363" s="82"/>
      <c r="B363" s="83"/>
      <c r="C363" s="83" t="s">
        <v>122</v>
      </c>
      <c r="D363" s="83">
        <f>SUM(D360:D362)</f>
        <v>311940</v>
      </c>
      <c r="E363" s="100">
        <f>SUM(E360:E362)</f>
        <v>3.7501676328027571</v>
      </c>
    </row>
    <row r="365" spans="1:5" x14ac:dyDescent="0.25">
      <c r="A365" s="279" t="s">
        <v>593</v>
      </c>
      <c r="B365" s="279"/>
      <c r="C365" s="279"/>
      <c r="D365" s="279"/>
      <c r="E365" s="279"/>
    </row>
    <row r="366" spans="1:5" x14ac:dyDescent="0.25">
      <c r="A366" s="72" t="s">
        <v>92</v>
      </c>
      <c r="B366" s="72" t="s">
        <v>93</v>
      </c>
      <c r="C366" s="71" t="s">
        <v>227</v>
      </c>
      <c r="D366" s="71" t="s">
        <v>228</v>
      </c>
      <c r="E366" s="73" t="s">
        <v>229</v>
      </c>
    </row>
    <row r="367" spans="1:5" x14ac:dyDescent="0.25">
      <c r="A367" s="74" t="s">
        <v>345</v>
      </c>
      <c r="B367" s="75">
        <f>INSUMOS!B72</f>
        <v>98250</v>
      </c>
      <c r="C367" s="103">
        <v>1</v>
      </c>
      <c r="D367" s="75">
        <f>C367*B367</f>
        <v>98250</v>
      </c>
      <c r="E367" s="102">
        <f>INSUMOS!E72</f>
        <v>4.93</v>
      </c>
    </row>
    <row r="368" spans="1:5" x14ac:dyDescent="0.25">
      <c r="A368" s="94" t="s">
        <v>594</v>
      </c>
      <c r="B368" s="78">
        <f>INSUMOS!B7</f>
        <v>461000</v>
      </c>
      <c r="C368" s="104">
        <v>0.21</v>
      </c>
      <c r="D368" s="78">
        <f>C368*B368</f>
        <v>96810</v>
      </c>
      <c r="E368" s="97">
        <f>C368*INSUMOS!E150</f>
        <v>1.155</v>
      </c>
    </row>
    <row r="369" spans="1:5" x14ac:dyDescent="0.25">
      <c r="A369" s="94" t="s">
        <v>493</v>
      </c>
      <c r="B369" s="78">
        <f>INSUMOS!B270</f>
        <v>395000</v>
      </c>
      <c r="C369" s="104">
        <v>1</v>
      </c>
      <c r="D369" s="78">
        <f>C369*B369</f>
        <v>395000</v>
      </c>
      <c r="E369" s="105" t="s">
        <v>232</v>
      </c>
    </row>
    <row r="370" spans="1:5" x14ac:dyDescent="0.25">
      <c r="A370" s="82"/>
      <c r="B370" s="83"/>
      <c r="C370" s="83" t="s">
        <v>122</v>
      </c>
      <c r="D370" s="83">
        <f>SUM(D367:D369)</f>
        <v>590060</v>
      </c>
      <c r="E370" s="100">
        <f>SUM(E367:E369)</f>
        <v>6.085</v>
      </c>
    </row>
    <row r="372" spans="1:5" x14ac:dyDescent="0.25">
      <c r="A372" s="279" t="s">
        <v>595</v>
      </c>
      <c r="B372" s="279"/>
      <c r="C372" s="279"/>
      <c r="D372" s="279"/>
      <c r="E372" s="279"/>
    </row>
    <row r="373" spans="1:5" x14ac:dyDescent="0.25">
      <c r="A373" s="72" t="s">
        <v>92</v>
      </c>
      <c r="B373" s="72" t="s">
        <v>93</v>
      </c>
      <c r="C373" s="71" t="s">
        <v>227</v>
      </c>
      <c r="D373" s="71" t="s">
        <v>228</v>
      </c>
      <c r="E373" s="73" t="s">
        <v>229</v>
      </c>
    </row>
    <row r="374" spans="1:5" x14ac:dyDescent="0.25">
      <c r="A374" s="74" t="s">
        <v>460</v>
      </c>
      <c r="B374" s="75">
        <f>INSUMOS!B88</f>
        <v>120000</v>
      </c>
      <c r="C374" s="103">
        <v>1</v>
      </c>
      <c r="D374" s="75">
        <f>C374*B374</f>
        <v>120000</v>
      </c>
      <c r="E374" s="102">
        <f>INSUMOS!E70</f>
        <v>3</v>
      </c>
    </row>
    <row r="375" spans="1:5" x14ac:dyDescent="0.25">
      <c r="A375" s="94" t="s">
        <v>596</v>
      </c>
      <c r="B375" s="78">
        <f>INSUMOS!B16</f>
        <v>240000</v>
      </c>
      <c r="C375" s="104">
        <v>0.1</v>
      </c>
      <c r="D375" s="78">
        <f>C375*B375</f>
        <v>24000</v>
      </c>
      <c r="E375" s="97">
        <f>C375*INSUMOS!E16</f>
        <v>1.5910614843661428</v>
      </c>
    </row>
    <row r="376" spans="1:5" x14ac:dyDescent="0.25">
      <c r="A376" s="94" t="s">
        <v>518</v>
      </c>
      <c r="B376" s="78">
        <f>INSUMOS!B268</f>
        <v>250000</v>
      </c>
      <c r="C376" s="104">
        <v>1</v>
      </c>
      <c r="D376" s="78">
        <f>C376*B376</f>
        <v>250000</v>
      </c>
      <c r="E376" s="106"/>
    </row>
    <row r="377" spans="1:5" x14ac:dyDescent="0.25">
      <c r="A377" s="82"/>
      <c r="B377" s="83"/>
      <c r="C377" s="83" t="s">
        <v>122</v>
      </c>
      <c r="D377" s="83">
        <f>SUM(D374:D376)</f>
        <v>394000</v>
      </c>
      <c r="E377" s="100">
        <f>SUM(E374:E376)</f>
        <v>4.5910614843661426</v>
      </c>
    </row>
    <row r="379" spans="1:5" x14ac:dyDescent="0.25">
      <c r="A379" s="279" t="s">
        <v>597</v>
      </c>
      <c r="B379" s="279"/>
      <c r="C379" s="279"/>
      <c r="D379" s="279"/>
      <c r="E379" s="279"/>
    </row>
    <row r="380" spans="1:5" x14ac:dyDescent="0.25">
      <c r="A380" s="72" t="s">
        <v>92</v>
      </c>
      <c r="B380" s="72" t="s">
        <v>93</v>
      </c>
      <c r="C380" s="71" t="s">
        <v>227</v>
      </c>
      <c r="D380" s="71" t="s">
        <v>228</v>
      </c>
      <c r="E380" s="73" t="s">
        <v>229</v>
      </c>
    </row>
    <row r="381" spans="1:5" x14ac:dyDescent="0.25">
      <c r="A381" s="74" t="s">
        <v>501</v>
      </c>
      <c r="B381" s="75">
        <f>+INSUMOS!B71</f>
        <v>80000</v>
      </c>
      <c r="C381" s="103">
        <v>1</v>
      </c>
      <c r="D381" s="75">
        <f>C381*B381</f>
        <v>80000</v>
      </c>
      <c r="E381" s="102">
        <f>+INSUMOS!E71</f>
        <v>3</v>
      </c>
    </row>
    <row r="382" spans="1:5" x14ac:dyDescent="0.25">
      <c r="A382" s="94" t="s">
        <v>495</v>
      </c>
      <c r="B382" s="78">
        <f>+INSUMOS!B7</f>
        <v>461000</v>
      </c>
      <c r="C382" s="104">
        <v>0.17</v>
      </c>
      <c r="D382" s="78">
        <f>C382*B382</f>
        <v>78370</v>
      </c>
      <c r="E382" s="97">
        <f>0.17*INSUMOS!E7</f>
        <v>6.0858101777004965</v>
      </c>
    </row>
    <row r="383" spans="1:5" x14ac:dyDescent="0.25">
      <c r="A383" s="94" t="s">
        <v>502</v>
      </c>
      <c r="B383" s="78">
        <f>+INSUMOS!B269</f>
        <v>300000</v>
      </c>
      <c r="C383" s="104">
        <v>1</v>
      </c>
      <c r="D383" s="78">
        <f>C383*B383</f>
        <v>300000</v>
      </c>
      <c r="E383" s="106"/>
    </row>
    <row r="384" spans="1:5" x14ac:dyDescent="0.25">
      <c r="A384" s="82"/>
      <c r="B384" s="83"/>
      <c r="C384" s="83" t="s">
        <v>122</v>
      </c>
      <c r="D384" s="83">
        <f>SUM(D381:D383)</f>
        <v>458370</v>
      </c>
      <c r="E384" s="100">
        <f>SUM(E381:E383)</f>
        <v>9.0858101777004965</v>
      </c>
    </row>
    <row r="386" spans="1:5" x14ac:dyDescent="0.25">
      <c r="A386" s="279" t="s">
        <v>598</v>
      </c>
      <c r="B386" s="279"/>
      <c r="C386" s="279"/>
      <c r="D386" s="279"/>
      <c r="E386" s="279"/>
    </row>
    <row r="387" spans="1:5" x14ac:dyDescent="0.25">
      <c r="A387" s="72" t="s">
        <v>92</v>
      </c>
      <c r="B387" s="72" t="s">
        <v>93</v>
      </c>
      <c r="C387" s="71" t="s">
        <v>227</v>
      </c>
      <c r="D387" s="71" t="s">
        <v>228</v>
      </c>
      <c r="E387" s="73" t="s">
        <v>229</v>
      </c>
    </row>
    <row r="388" spans="1:5" x14ac:dyDescent="0.25">
      <c r="A388" s="74" t="s">
        <v>421</v>
      </c>
      <c r="B388" s="75">
        <f>+INSUMOS!B70</f>
        <v>80000</v>
      </c>
      <c r="C388" s="103">
        <v>1</v>
      </c>
      <c r="D388" s="75">
        <f>C388*B388</f>
        <v>80000</v>
      </c>
      <c r="E388" s="102">
        <f>+INSUMOS!E70</f>
        <v>3</v>
      </c>
    </row>
    <row r="389" spans="1:5" x14ac:dyDescent="0.25">
      <c r="A389" s="94" t="s">
        <v>599</v>
      </c>
      <c r="B389" s="78">
        <f>+INSUMOS!B6</f>
        <v>225000</v>
      </c>
      <c r="C389" s="104">
        <v>9.5000000000000001E-2</v>
      </c>
      <c r="D389" s="78">
        <f>C389*B389</f>
        <v>21375</v>
      </c>
      <c r="E389" s="97">
        <f>+C389*INSUMOS!E6</f>
        <v>2.3617318908559937</v>
      </c>
    </row>
    <row r="390" spans="1:5" x14ac:dyDescent="0.25">
      <c r="A390" s="94" t="s">
        <v>518</v>
      </c>
      <c r="B390" s="78">
        <f>+INSUMOS!B255</f>
        <v>202000</v>
      </c>
      <c r="C390" s="104">
        <v>1</v>
      </c>
      <c r="D390" s="78">
        <f>C390*B390</f>
        <v>202000</v>
      </c>
      <c r="E390" s="106"/>
    </row>
    <row r="391" spans="1:5" x14ac:dyDescent="0.25">
      <c r="A391" s="82"/>
      <c r="B391" s="83"/>
      <c r="C391" s="83" t="s">
        <v>122</v>
      </c>
      <c r="D391" s="83">
        <f>SUM(D388:D390)</f>
        <v>303375</v>
      </c>
      <c r="E391" s="100">
        <f>SUM(E388:E390)</f>
        <v>5.3617318908559941</v>
      </c>
    </row>
    <row r="393" spans="1:5" x14ac:dyDescent="0.25">
      <c r="A393" s="279" t="s">
        <v>600</v>
      </c>
      <c r="B393" s="279"/>
      <c r="C393" s="279"/>
      <c r="D393" s="279"/>
      <c r="E393" s="279"/>
    </row>
    <row r="394" spans="1:5" x14ac:dyDescent="0.25">
      <c r="A394" s="72" t="s">
        <v>92</v>
      </c>
      <c r="B394" s="72" t="s">
        <v>93</v>
      </c>
      <c r="C394" s="71" t="s">
        <v>227</v>
      </c>
      <c r="D394" s="71" t="s">
        <v>228</v>
      </c>
      <c r="E394" s="73" t="s">
        <v>229</v>
      </c>
    </row>
    <row r="395" spans="1:5" x14ac:dyDescent="0.25">
      <c r="A395" s="74" t="s">
        <v>549</v>
      </c>
      <c r="B395" s="75">
        <f>+INSUMOS!B89</f>
        <v>130000</v>
      </c>
      <c r="C395" s="103">
        <v>1</v>
      </c>
      <c r="D395" s="75">
        <f>C395*B395</f>
        <v>130000</v>
      </c>
      <c r="E395" s="102">
        <f>+INSUMOS!E89</f>
        <v>3.28</v>
      </c>
    </row>
    <row r="396" spans="1:5" x14ac:dyDescent="0.25">
      <c r="A396" s="94" t="s">
        <v>601</v>
      </c>
      <c r="B396" s="78">
        <f>+INSUMOS!B19</f>
        <v>461000</v>
      </c>
      <c r="C396" s="104">
        <v>0.15</v>
      </c>
      <c r="D396" s="78">
        <f>C396*B396</f>
        <v>69150</v>
      </c>
      <c r="E396" s="97">
        <f>+INSUMOS!E19*0.15</f>
        <v>5.3698325097357316</v>
      </c>
    </row>
    <row r="397" spans="1:5" x14ac:dyDescent="0.25">
      <c r="A397" s="94" t="s">
        <v>502</v>
      </c>
      <c r="B397" s="78">
        <f>+INSUMOS!B269</f>
        <v>300000</v>
      </c>
      <c r="C397" s="104">
        <v>1</v>
      </c>
      <c r="D397" s="78">
        <f>C397*B397</f>
        <v>300000</v>
      </c>
      <c r="E397" s="106"/>
    </row>
    <row r="398" spans="1:5" x14ac:dyDescent="0.25">
      <c r="A398" s="82"/>
      <c r="B398" s="83"/>
      <c r="C398" s="83" t="s">
        <v>122</v>
      </c>
      <c r="D398" s="83">
        <f>SUM(D395:D397)</f>
        <v>499150</v>
      </c>
      <c r="E398" s="100">
        <f>SUM(E395:E397)</f>
        <v>8.6498325097357309</v>
      </c>
    </row>
  </sheetData>
  <mergeCells count="57">
    <mergeCell ref="A386:E386"/>
    <mergeCell ref="A393:E393"/>
    <mergeCell ref="A351:E351"/>
    <mergeCell ref="A358:E358"/>
    <mergeCell ref="A365:E365"/>
    <mergeCell ref="A372:E372"/>
    <mergeCell ref="A379:E379"/>
    <mergeCell ref="A316:E316"/>
    <mergeCell ref="A323:E323"/>
    <mergeCell ref="A330:E330"/>
    <mergeCell ref="A337:E337"/>
    <mergeCell ref="A344:E344"/>
    <mergeCell ref="A281:E281"/>
    <mergeCell ref="A288:E288"/>
    <mergeCell ref="A295:E295"/>
    <mergeCell ref="A302:E302"/>
    <mergeCell ref="A309:E309"/>
    <mergeCell ref="A246:E246"/>
    <mergeCell ref="A253:E253"/>
    <mergeCell ref="A260:E260"/>
    <mergeCell ref="A267:E267"/>
    <mergeCell ref="A274:E274"/>
    <mergeCell ref="A211:E211"/>
    <mergeCell ref="A218:E218"/>
    <mergeCell ref="A225:E225"/>
    <mergeCell ref="A232:E232"/>
    <mergeCell ref="A239:E239"/>
    <mergeCell ref="A176:E176"/>
    <mergeCell ref="A183:E183"/>
    <mergeCell ref="A190:E190"/>
    <mergeCell ref="A197:E197"/>
    <mergeCell ref="A204:E204"/>
    <mergeCell ref="A141:E141"/>
    <mergeCell ref="A148:E148"/>
    <mergeCell ref="A155:E155"/>
    <mergeCell ref="A162:E162"/>
    <mergeCell ref="A169:E169"/>
    <mergeCell ref="A106:E106"/>
    <mergeCell ref="A113:E113"/>
    <mergeCell ref="A120:E120"/>
    <mergeCell ref="A127:E127"/>
    <mergeCell ref="A134:E134"/>
    <mergeCell ref="A71:E71"/>
    <mergeCell ref="A78:E78"/>
    <mergeCell ref="A85:E85"/>
    <mergeCell ref="A92:E92"/>
    <mergeCell ref="A99:E99"/>
    <mergeCell ref="A36:E36"/>
    <mergeCell ref="A43:E43"/>
    <mergeCell ref="A50:E50"/>
    <mergeCell ref="A57:E57"/>
    <mergeCell ref="A64:E64"/>
    <mergeCell ref="A1:E1"/>
    <mergeCell ref="A8:E8"/>
    <mergeCell ref="A15:E15"/>
    <mergeCell ref="A22:E22"/>
    <mergeCell ref="A29:E2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6"/>
  <sheetViews>
    <sheetView topLeftCell="A121" zoomScale="85" zoomScaleNormal="85" workbookViewId="0">
      <selection activeCell="H129" sqref="H129"/>
    </sheetView>
  </sheetViews>
  <sheetFormatPr baseColWidth="10" defaultColWidth="9.140625" defaultRowHeight="15" x14ac:dyDescent="0.25"/>
  <cols>
    <col min="1" max="1" width="31" customWidth="1"/>
    <col min="2" max="2" width="11.7109375" customWidth="1"/>
    <col min="3" max="4" width="10" customWidth="1"/>
    <col min="5" max="6" width="9.140625" customWidth="1"/>
    <col min="7" max="7" width="28.140625" customWidth="1"/>
    <col min="8" max="8" width="12.28515625" customWidth="1"/>
    <col min="9" max="1025" width="9.140625" customWidth="1"/>
  </cols>
  <sheetData>
    <row r="1" spans="1:14" x14ac:dyDescent="0.25">
      <c r="A1" s="279" t="s">
        <v>602</v>
      </c>
      <c r="B1" s="279"/>
      <c r="C1" s="279"/>
      <c r="D1" s="279"/>
      <c r="E1" s="279"/>
    </row>
    <row r="2" spans="1:14" x14ac:dyDescent="0.25">
      <c r="A2" s="72" t="s">
        <v>92</v>
      </c>
      <c r="B2" s="72" t="s">
        <v>344</v>
      </c>
      <c r="C2" s="72" t="s">
        <v>603</v>
      </c>
      <c r="D2" s="72" t="s">
        <v>228</v>
      </c>
      <c r="E2" s="73" t="s">
        <v>229</v>
      </c>
    </row>
    <row r="3" spans="1:14" x14ac:dyDescent="0.25">
      <c r="A3" s="94" t="s">
        <v>604</v>
      </c>
      <c r="B3" s="78">
        <f>INSUMOS!B4</f>
        <v>87000</v>
      </c>
      <c r="C3" s="107">
        <v>0.2</v>
      </c>
      <c r="D3" s="78">
        <f>C3*B3</f>
        <v>17400</v>
      </c>
      <c r="E3" s="97">
        <f>0.2*INSUMOS!E4</f>
        <v>1.7899441699119105</v>
      </c>
    </row>
    <row r="4" spans="1:14" x14ac:dyDescent="0.25">
      <c r="A4" s="94" t="s">
        <v>605</v>
      </c>
      <c r="B4" s="78">
        <f>INSUMOS!B252</f>
        <v>180000</v>
      </c>
      <c r="C4" s="108">
        <v>1</v>
      </c>
      <c r="D4" s="78">
        <f>C4*B4</f>
        <v>180000</v>
      </c>
      <c r="E4" s="99" t="s">
        <v>232</v>
      </c>
    </row>
    <row r="5" spans="1:14" x14ac:dyDescent="0.25">
      <c r="A5" s="82"/>
      <c r="B5" s="83"/>
      <c r="C5" s="109" t="s">
        <v>122</v>
      </c>
      <c r="D5" s="83">
        <f>SUM(D3:D4)</f>
        <v>197400</v>
      </c>
      <c r="E5" s="100">
        <f>SUM(E3:E4)</f>
        <v>1.7899441699119105</v>
      </c>
    </row>
    <row r="8" spans="1:14" x14ac:dyDescent="0.25">
      <c r="A8" s="279" t="s">
        <v>606</v>
      </c>
      <c r="B8" s="279"/>
      <c r="C8" s="279"/>
      <c r="D8" s="279"/>
      <c r="E8" s="279"/>
    </row>
    <row r="9" spans="1:14" x14ac:dyDescent="0.25">
      <c r="A9" s="71" t="s">
        <v>92</v>
      </c>
      <c r="B9" s="72" t="s">
        <v>344</v>
      </c>
      <c r="C9" s="72" t="s">
        <v>603</v>
      </c>
      <c r="D9" s="72" t="s">
        <v>228</v>
      </c>
      <c r="E9" s="73" t="s">
        <v>229</v>
      </c>
    </row>
    <row r="10" spans="1:14" x14ac:dyDescent="0.25">
      <c r="A10" s="94" t="s">
        <v>607</v>
      </c>
      <c r="B10" s="78">
        <f>INSUMOS!B5</f>
        <v>154000</v>
      </c>
      <c r="C10" s="107">
        <v>0.2</v>
      </c>
      <c r="D10" s="78">
        <f>C10*B10</f>
        <v>30800</v>
      </c>
      <c r="E10" s="97">
        <f>0.2*INSUMOS!E5</f>
        <v>3.1821229687322856</v>
      </c>
    </row>
    <row r="11" spans="1:14" x14ac:dyDescent="0.25">
      <c r="A11" s="94" t="s">
        <v>608</v>
      </c>
      <c r="B11" s="78">
        <f>INSUMOS!B255</f>
        <v>202000</v>
      </c>
      <c r="C11" s="108">
        <v>1</v>
      </c>
      <c r="D11" s="78">
        <f>C11*B11</f>
        <v>202000</v>
      </c>
      <c r="E11" s="99" t="s">
        <v>232</v>
      </c>
      <c r="N11" s="110"/>
    </row>
    <row r="12" spans="1:14" x14ac:dyDescent="0.25">
      <c r="A12" s="82"/>
      <c r="B12" s="83"/>
      <c r="C12" s="109" t="s">
        <v>122</v>
      </c>
      <c r="D12" s="83">
        <f>SUM(D10:D11)</f>
        <v>232800</v>
      </c>
      <c r="E12" s="100">
        <f>SUM(E10:E11)</f>
        <v>3.1821229687322856</v>
      </c>
      <c r="N12" s="110"/>
    </row>
    <row r="13" spans="1:14" x14ac:dyDescent="0.25">
      <c r="N13" s="110"/>
    </row>
    <row r="14" spans="1:14" x14ac:dyDescent="0.25">
      <c r="A14" s="279" t="s">
        <v>609</v>
      </c>
      <c r="B14" s="279"/>
      <c r="C14" s="279"/>
      <c r="D14" s="279"/>
      <c r="E14" s="279"/>
      <c r="N14" s="110"/>
    </row>
    <row r="15" spans="1:14" x14ac:dyDescent="0.25">
      <c r="A15" s="72" t="s">
        <v>92</v>
      </c>
      <c r="B15" s="72" t="s">
        <v>344</v>
      </c>
      <c r="C15" s="72" t="s">
        <v>603</v>
      </c>
      <c r="D15" s="72" t="s">
        <v>228</v>
      </c>
      <c r="E15" s="73" t="s">
        <v>229</v>
      </c>
    </row>
    <row r="16" spans="1:14" x14ac:dyDescent="0.25">
      <c r="A16" s="94" t="s">
        <v>607</v>
      </c>
      <c r="B16" s="78">
        <f>INSUMOS!B5</f>
        <v>154000</v>
      </c>
      <c r="C16" s="107">
        <v>0.2</v>
      </c>
      <c r="D16" s="78">
        <f>C16*B16</f>
        <v>30800</v>
      </c>
      <c r="E16" s="97">
        <f>0.2*INSUMOS!E5</f>
        <v>3.1821229687322856</v>
      </c>
    </row>
    <row r="17" spans="1:5" x14ac:dyDescent="0.25">
      <c r="A17" s="94" t="s">
        <v>608</v>
      </c>
      <c r="B17" s="78">
        <f>INSUMOS!B255</f>
        <v>202000</v>
      </c>
      <c r="C17" s="108">
        <v>1</v>
      </c>
      <c r="D17" s="78">
        <f>C17*B17</f>
        <v>202000</v>
      </c>
      <c r="E17" s="99" t="s">
        <v>232</v>
      </c>
    </row>
    <row r="18" spans="1:5" x14ac:dyDescent="0.25">
      <c r="A18" s="82"/>
      <c r="B18" s="83"/>
      <c r="C18" s="109" t="s">
        <v>122</v>
      </c>
      <c r="D18" s="83">
        <f>SUM(D16:D17)</f>
        <v>232800</v>
      </c>
      <c r="E18" s="100">
        <f>SUM(E16:E17)</f>
        <v>3.1821229687322856</v>
      </c>
    </row>
    <row r="21" spans="1:5" x14ac:dyDescent="0.25">
      <c r="A21" s="279" t="s">
        <v>610</v>
      </c>
      <c r="B21" s="279"/>
      <c r="C21" s="279"/>
      <c r="D21" s="279"/>
      <c r="E21" s="279"/>
    </row>
    <row r="22" spans="1:5" x14ac:dyDescent="0.25">
      <c r="A22" s="72" t="s">
        <v>92</v>
      </c>
      <c r="B22" s="72" t="s">
        <v>344</v>
      </c>
      <c r="C22" s="72" t="s">
        <v>603</v>
      </c>
      <c r="D22" s="72" t="s">
        <v>228</v>
      </c>
      <c r="E22" s="73" t="s">
        <v>229</v>
      </c>
    </row>
    <row r="23" spans="1:5" x14ac:dyDescent="0.25">
      <c r="A23" s="94" t="s">
        <v>611</v>
      </c>
      <c r="B23" s="78">
        <f>INSUMOS!B7</f>
        <v>461000</v>
      </c>
      <c r="C23" s="107">
        <v>0.2</v>
      </c>
      <c r="D23" s="78">
        <f>C23*B23</f>
        <v>92200</v>
      </c>
      <c r="E23" s="97">
        <f>0.2*INSUMOS!E7</f>
        <v>7.1597766796476421</v>
      </c>
    </row>
    <row r="24" spans="1:5" x14ac:dyDescent="0.25">
      <c r="A24" s="94" t="s">
        <v>612</v>
      </c>
      <c r="B24" s="78">
        <f>INSUMOS!B258</f>
        <v>266000</v>
      </c>
      <c r="C24" s="108">
        <v>1</v>
      </c>
      <c r="D24" s="78">
        <f>C24*B24</f>
        <v>266000</v>
      </c>
      <c r="E24" s="99" t="s">
        <v>232</v>
      </c>
    </row>
    <row r="25" spans="1:5" x14ac:dyDescent="0.25">
      <c r="A25" s="82"/>
      <c r="B25" s="83"/>
      <c r="C25" s="109" t="s">
        <v>122</v>
      </c>
      <c r="D25" s="83">
        <f>SUM(D23:D24)</f>
        <v>358200</v>
      </c>
      <c r="E25" s="100">
        <f>SUM(E23:E24)</f>
        <v>7.1597766796476421</v>
      </c>
    </row>
    <row r="28" spans="1:5" x14ac:dyDescent="0.25">
      <c r="A28" s="279" t="s">
        <v>613</v>
      </c>
      <c r="B28" s="279"/>
      <c r="C28" s="279"/>
      <c r="D28" s="279"/>
      <c r="E28" s="279"/>
    </row>
    <row r="29" spans="1:5" x14ac:dyDescent="0.25">
      <c r="A29" s="72" t="s">
        <v>92</v>
      </c>
      <c r="B29" s="72" t="s">
        <v>344</v>
      </c>
      <c r="C29" s="72" t="s">
        <v>603</v>
      </c>
      <c r="D29" s="72" t="s">
        <v>228</v>
      </c>
      <c r="E29" s="73" t="s">
        <v>229</v>
      </c>
    </row>
    <row r="30" spans="1:5" x14ac:dyDescent="0.25">
      <c r="A30" s="94" t="s">
        <v>607</v>
      </c>
      <c r="B30" s="78">
        <f>INSUMOS!B5</f>
        <v>154000</v>
      </c>
      <c r="C30" s="107">
        <v>0.2</v>
      </c>
      <c r="D30" s="78">
        <f>C30*B30</f>
        <v>30800</v>
      </c>
      <c r="E30" s="97">
        <f>0.2*INSUMOS!E5</f>
        <v>3.1821229687322856</v>
      </c>
    </row>
    <row r="31" spans="1:5" x14ac:dyDescent="0.25">
      <c r="A31" s="94" t="s">
        <v>608</v>
      </c>
      <c r="B31" s="78">
        <f>INSUMOS!B255</f>
        <v>202000</v>
      </c>
      <c r="C31" s="108">
        <v>1</v>
      </c>
      <c r="D31" s="78">
        <f>C31*B31</f>
        <v>202000</v>
      </c>
      <c r="E31" s="99" t="s">
        <v>232</v>
      </c>
    </row>
    <row r="32" spans="1:5" x14ac:dyDescent="0.25">
      <c r="A32" s="82"/>
      <c r="B32" s="83"/>
      <c r="C32" s="109" t="s">
        <v>122</v>
      </c>
      <c r="D32" s="83">
        <f>SUM(D30:D31)</f>
        <v>232800</v>
      </c>
      <c r="E32" s="100">
        <f>SUM(E30:E31)</f>
        <v>3.1821229687322856</v>
      </c>
    </row>
    <row r="35" spans="1:5" x14ac:dyDescent="0.25">
      <c r="A35" s="279" t="s">
        <v>610</v>
      </c>
      <c r="B35" s="279"/>
      <c r="C35" s="279"/>
      <c r="D35" s="279"/>
      <c r="E35" s="279"/>
    </row>
    <row r="36" spans="1:5" x14ac:dyDescent="0.25">
      <c r="A36" s="72" t="s">
        <v>92</v>
      </c>
      <c r="B36" s="72" t="s">
        <v>344</v>
      </c>
      <c r="C36" s="72" t="s">
        <v>603</v>
      </c>
      <c r="D36" s="72" t="s">
        <v>228</v>
      </c>
      <c r="E36" s="73" t="s">
        <v>229</v>
      </c>
    </row>
    <row r="37" spans="1:5" x14ac:dyDescent="0.25">
      <c r="A37" s="94" t="s">
        <v>611</v>
      </c>
      <c r="B37" s="78">
        <f>INSUMOS!B7</f>
        <v>461000</v>
      </c>
      <c r="C37" s="107">
        <v>0.2</v>
      </c>
      <c r="D37" s="78">
        <f>C37*B37</f>
        <v>92200</v>
      </c>
      <c r="E37" s="97">
        <f>0.2*INSUMOS!E7</f>
        <v>7.1597766796476421</v>
      </c>
    </row>
    <row r="38" spans="1:5" x14ac:dyDescent="0.25">
      <c r="A38" s="94" t="s">
        <v>614</v>
      </c>
      <c r="B38" s="78">
        <f>INSUMOS!B258</f>
        <v>266000</v>
      </c>
      <c r="C38" s="108">
        <v>1</v>
      </c>
      <c r="D38" s="78">
        <f>C38*B38</f>
        <v>266000</v>
      </c>
      <c r="E38" s="99" t="s">
        <v>232</v>
      </c>
    </row>
    <row r="39" spans="1:5" x14ac:dyDescent="0.25">
      <c r="A39" s="82"/>
      <c r="B39" s="83"/>
      <c r="C39" s="109" t="s">
        <v>122</v>
      </c>
      <c r="D39" s="83">
        <f>SUM(D37:D38)</f>
        <v>358200</v>
      </c>
      <c r="E39" s="100">
        <f>SUM(E37:E38)</f>
        <v>7.1597766796476421</v>
      </c>
    </row>
    <row r="42" spans="1:5" x14ac:dyDescent="0.25">
      <c r="A42" s="279" t="s">
        <v>615</v>
      </c>
      <c r="B42" s="279"/>
      <c r="C42" s="279"/>
      <c r="D42" s="279"/>
      <c r="E42" s="279"/>
    </row>
    <row r="43" spans="1:5" x14ac:dyDescent="0.25">
      <c r="A43" s="72" t="s">
        <v>92</v>
      </c>
      <c r="B43" s="72" t="s">
        <v>344</v>
      </c>
      <c r="C43" s="72" t="s">
        <v>603</v>
      </c>
      <c r="D43" s="72" t="s">
        <v>228</v>
      </c>
      <c r="E43" s="73" t="s">
        <v>229</v>
      </c>
    </row>
    <row r="44" spans="1:5" x14ac:dyDescent="0.25">
      <c r="A44" s="94" t="s">
        <v>611</v>
      </c>
      <c r="B44" s="78">
        <f>INSUMOS!B7</f>
        <v>461000</v>
      </c>
      <c r="C44" s="107">
        <v>0.2</v>
      </c>
      <c r="D44" s="78">
        <f>C44*B44</f>
        <v>92200</v>
      </c>
      <c r="E44" s="97">
        <f>0.2*INSUMOS!E7</f>
        <v>7.1597766796476421</v>
      </c>
    </row>
    <row r="45" spans="1:5" x14ac:dyDescent="0.25">
      <c r="A45" s="94" t="s">
        <v>612</v>
      </c>
      <c r="B45" s="78">
        <f>INSUMOS!B258</f>
        <v>266000</v>
      </c>
      <c r="C45" s="108">
        <v>1</v>
      </c>
      <c r="D45" s="78">
        <f>C45*B45</f>
        <v>266000</v>
      </c>
      <c r="E45" s="99" t="s">
        <v>232</v>
      </c>
    </row>
    <row r="46" spans="1:5" x14ac:dyDescent="0.25">
      <c r="A46" s="82"/>
      <c r="B46" s="83"/>
      <c r="C46" s="109" t="s">
        <v>122</v>
      </c>
      <c r="D46" s="83">
        <f>SUM(D44:D45)</f>
        <v>358200</v>
      </c>
      <c r="E46" s="100">
        <f>SUM(E44:E45)</f>
        <v>7.1597766796476421</v>
      </c>
    </row>
    <row r="48" spans="1:5" x14ac:dyDescent="0.25">
      <c r="A48" s="279" t="s">
        <v>616</v>
      </c>
      <c r="B48" s="279"/>
      <c r="C48" s="279"/>
      <c r="D48" s="279"/>
      <c r="E48" s="279"/>
    </row>
    <row r="49" spans="1:5" x14ac:dyDescent="0.25">
      <c r="A49" s="72" t="s">
        <v>92</v>
      </c>
      <c r="B49" s="72" t="s">
        <v>344</v>
      </c>
      <c r="C49" s="72" t="s">
        <v>603</v>
      </c>
      <c r="D49" s="72" t="s">
        <v>228</v>
      </c>
      <c r="E49" s="73" t="s">
        <v>229</v>
      </c>
    </row>
    <row r="50" spans="1:5" x14ac:dyDescent="0.25">
      <c r="A50" s="94" t="s">
        <v>617</v>
      </c>
      <c r="B50" s="78">
        <f>INSUMOS!B5</f>
        <v>154000</v>
      </c>
      <c r="C50" s="107">
        <v>0.15</v>
      </c>
      <c r="D50" s="78">
        <f>C50*B50</f>
        <v>23100</v>
      </c>
      <c r="E50" s="97">
        <f>0.2*INSUMOS!E5</f>
        <v>3.1821229687322856</v>
      </c>
    </row>
    <row r="51" spans="1:5" x14ac:dyDescent="0.25">
      <c r="A51" s="94" t="s">
        <v>608</v>
      </c>
      <c r="B51" s="78">
        <f>INSUMOS!B255</f>
        <v>202000</v>
      </c>
      <c r="C51" s="108">
        <v>1</v>
      </c>
      <c r="D51" s="78">
        <f>C51*B51</f>
        <v>202000</v>
      </c>
      <c r="E51" s="99" t="s">
        <v>232</v>
      </c>
    </row>
    <row r="52" spans="1:5" x14ac:dyDescent="0.25">
      <c r="A52" s="82"/>
      <c r="B52" s="83"/>
      <c r="C52" s="109" t="s">
        <v>122</v>
      </c>
      <c r="D52" s="83">
        <f>SUM(D50:D51)</f>
        <v>225100</v>
      </c>
      <c r="E52" s="100">
        <f>SUM(E50:E51)</f>
        <v>3.1821229687322856</v>
      </c>
    </row>
    <row r="54" spans="1:5" x14ac:dyDescent="0.25">
      <c r="A54" s="279" t="s">
        <v>618</v>
      </c>
      <c r="B54" s="279"/>
      <c r="C54" s="279"/>
      <c r="D54" s="279"/>
      <c r="E54" s="279"/>
    </row>
    <row r="55" spans="1:5" x14ac:dyDescent="0.25">
      <c r="A55" s="72" t="s">
        <v>92</v>
      </c>
      <c r="B55" s="72" t="s">
        <v>344</v>
      </c>
      <c r="C55" s="72" t="s">
        <v>603</v>
      </c>
      <c r="D55" s="72" t="s">
        <v>228</v>
      </c>
      <c r="E55" s="73" t="s">
        <v>229</v>
      </c>
    </row>
    <row r="56" spans="1:5" x14ac:dyDescent="0.25">
      <c r="A56" s="94" t="s">
        <v>619</v>
      </c>
      <c r="B56" s="78">
        <f>INSUMOS!B15</f>
        <v>140000</v>
      </c>
      <c r="C56" s="107">
        <v>0.2</v>
      </c>
      <c r="D56" s="78">
        <f>C56*B56</f>
        <v>28000</v>
      </c>
      <c r="E56" s="97">
        <f>C56*INSUMOS!E15</f>
        <v>1.7899441699119105</v>
      </c>
    </row>
    <row r="57" spans="1:5" x14ac:dyDescent="0.25">
      <c r="A57" s="94" t="s">
        <v>605</v>
      </c>
      <c r="B57" s="78">
        <f>INSUMOS!B252</f>
        <v>180000</v>
      </c>
      <c r="C57" s="108">
        <v>1</v>
      </c>
      <c r="D57" s="78">
        <f>C57*B57</f>
        <v>180000</v>
      </c>
      <c r="E57" s="99" t="s">
        <v>232</v>
      </c>
    </row>
    <row r="58" spans="1:5" x14ac:dyDescent="0.25">
      <c r="A58" s="82"/>
      <c r="B58" s="83"/>
      <c r="C58" s="109" t="s">
        <v>122</v>
      </c>
      <c r="D58" s="83">
        <f>SUM(D56:D57)</f>
        <v>208000</v>
      </c>
      <c r="E58" s="100">
        <f>SUM(E56:E57)</f>
        <v>1.7899441699119105</v>
      </c>
    </row>
    <row r="60" spans="1:5" x14ac:dyDescent="0.25">
      <c r="A60" s="279" t="s">
        <v>620</v>
      </c>
      <c r="B60" s="279"/>
      <c r="C60" s="279"/>
      <c r="D60" s="279"/>
      <c r="E60" s="279"/>
    </row>
    <row r="61" spans="1:5" x14ac:dyDescent="0.25">
      <c r="A61" s="72" t="s">
        <v>92</v>
      </c>
      <c r="B61" s="72" t="s">
        <v>344</v>
      </c>
      <c r="C61" s="72" t="s">
        <v>603</v>
      </c>
      <c r="D61" s="72" t="s">
        <v>228</v>
      </c>
      <c r="E61" s="73" t="s">
        <v>229</v>
      </c>
    </row>
    <row r="62" spans="1:5" x14ac:dyDescent="0.25">
      <c r="A62" s="94" t="s">
        <v>604</v>
      </c>
      <c r="B62" s="78">
        <f>INSUMOS!B4</f>
        <v>87000</v>
      </c>
      <c r="C62" s="107">
        <v>0.2</v>
      </c>
      <c r="D62" s="78">
        <f>C62*B62</f>
        <v>17400</v>
      </c>
      <c r="E62" s="97">
        <f>C62*INSUMOS!E4</f>
        <v>1.7899441699119105</v>
      </c>
    </row>
    <row r="63" spans="1:5" x14ac:dyDescent="0.25">
      <c r="A63" s="94" t="s">
        <v>621</v>
      </c>
      <c r="B63" s="78">
        <f>INSUMOS!B252</f>
        <v>180000</v>
      </c>
      <c r="C63" s="108">
        <v>1</v>
      </c>
      <c r="D63" s="78">
        <f>C63*B63</f>
        <v>180000</v>
      </c>
      <c r="E63" s="99" t="s">
        <v>232</v>
      </c>
    </row>
    <row r="64" spans="1:5" x14ac:dyDescent="0.25">
      <c r="A64" s="82"/>
      <c r="B64" s="83"/>
      <c r="C64" s="109" t="s">
        <v>122</v>
      </c>
      <c r="D64" s="83">
        <f>SUM(D62:D63)</f>
        <v>197400</v>
      </c>
      <c r="E64" s="100">
        <f>SUM(E62:E63)</f>
        <v>1.7899441699119105</v>
      </c>
    </row>
    <row r="66" spans="1:5" x14ac:dyDescent="0.25">
      <c r="A66" s="279" t="s">
        <v>622</v>
      </c>
      <c r="B66" s="279"/>
      <c r="C66" s="279"/>
      <c r="D66" s="279"/>
      <c r="E66" s="279"/>
    </row>
    <row r="67" spans="1:5" x14ac:dyDescent="0.25">
      <c r="A67" s="72" t="s">
        <v>92</v>
      </c>
      <c r="B67" s="72" t="s">
        <v>344</v>
      </c>
      <c r="C67" s="72" t="s">
        <v>603</v>
      </c>
      <c r="D67" s="72" t="s">
        <v>228</v>
      </c>
      <c r="E67" s="73" t="s">
        <v>229</v>
      </c>
    </row>
    <row r="68" spans="1:5" x14ac:dyDescent="0.25">
      <c r="A68" s="94" t="s">
        <v>619</v>
      </c>
      <c r="B68" s="78">
        <f>INSUMOS!B15</f>
        <v>140000</v>
      </c>
      <c r="C68" s="107">
        <v>0.2</v>
      </c>
      <c r="D68" s="78">
        <f>C68*B68</f>
        <v>28000</v>
      </c>
      <c r="E68" s="97">
        <f>C68*INSUMOS!E15</f>
        <v>1.7899441699119105</v>
      </c>
    </row>
    <row r="69" spans="1:5" x14ac:dyDescent="0.25">
      <c r="A69" s="94" t="s">
        <v>605</v>
      </c>
      <c r="B69" s="78">
        <f>INSUMOS!B252</f>
        <v>180000</v>
      </c>
      <c r="C69" s="108">
        <v>1</v>
      </c>
      <c r="D69" s="78">
        <f>C69*B69</f>
        <v>180000</v>
      </c>
      <c r="E69" s="99" t="s">
        <v>232</v>
      </c>
    </row>
    <row r="70" spans="1:5" x14ac:dyDescent="0.25">
      <c r="A70" s="82"/>
      <c r="B70" s="83"/>
      <c r="C70" s="109" t="s">
        <v>122</v>
      </c>
      <c r="D70" s="83">
        <f>SUM(D68:D69)</f>
        <v>208000</v>
      </c>
      <c r="E70" s="100">
        <f>SUM(E68:E69)</f>
        <v>1.7899441699119105</v>
      </c>
    </row>
    <row r="72" spans="1:5" x14ac:dyDescent="0.25">
      <c r="A72" s="279" t="s">
        <v>623</v>
      </c>
      <c r="B72" s="279"/>
      <c r="C72" s="279"/>
      <c r="D72" s="279"/>
      <c r="E72" s="279"/>
    </row>
    <row r="73" spans="1:5" x14ac:dyDescent="0.25">
      <c r="A73" s="72" t="s">
        <v>92</v>
      </c>
      <c r="B73" s="72" t="s">
        <v>344</v>
      </c>
      <c r="C73" s="72" t="s">
        <v>603</v>
      </c>
      <c r="D73" s="72" t="s">
        <v>228</v>
      </c>
      <c r="E73" s="73" t="s">
        <v>229</v>
      </c>
    </row>
    <row r="74" spans="1:5" x14ac:dyDescent="0.25">
      <c r="A74" s="94" t="s">
        <v>607</v>
      </c>
      <c r="B74" s="78">
        <f>INSUMOS!B5</f>
        <v>154000</v>
      </c>
      <c r="C74" s="107">
        <v>0.2</v>
      </c>
      <c r="D74" s="78">
        <f>C74*B74</f>
        <v>30800</v>
      </c>
      <c r="E74" s="97">
        <f>C74*INSUMOS!E5</f>
        <v>3.1821229687322856</v>
      </c>
    </row>
    <row r="75" spans="1:5" x14ac:dyDescent="0.25">
      <c r="A75" s="94" t="s">
        <v>624</v>
      </c>
      <c r="B75" s="78">
        <f>INSUMOS!B255</f>
        <v>202000</v>
      </c>
      <c r="C75" s="108">
        <v>1</v>
      </c>
      <c r="D75" s="78">
        <f>C75*B75</f>
        <v>202000</v>
      </c>
      <c r="E75" s="99" t="s">
        <v>232</v>
      </c>
    </row>
    <row r="76" spans="1:5" x14ac:dyDescent="0.25">
      <c r="A76" s="82"/>
      <c r="B76" s="83"/>
      <c r="C76" s="109" t="s">
        <v>122</v>
      </c>
      <c r="D76" s="83">
        <f>SUM(D74:D75)</f>
        <v>232800</v>
      </c>
      <c r="E76" s="100">
        <f>SUM(E74:E75)</f>
        <v>3.1821229687322856</v>
      </c>
    </row>
    <row r="78" spans="1:5" x14ac:dyDescent="0.25">
      <c r="A78" s="279" t="s">
        <v>625</v>
      </c>
      <c r="B78" s="279"/>
      <c r="C78" s="279"/>
      <c r="D78" s="279"/>
      <c r="E78" s="279"/>
    </row>
    <row r="79" spans="1:5" x14ac:dyDescent="0.25">
      <c r="A79" s="72" t="s">
        <v>92</v>
      </c>
      <c r="B79" s="72" t="s">
        <v>344</v>
      </c>
      <c r="C79" s="72" t="s">
        <v>603</v>
      </c>
      <c r="D79" s="72" t="s">
        <v>228</v>
      </c>
      <c r="E79" s="73" t="s">
        <v>229</v>
      </c>
    </row>
    <row r="80" spans="1:5" x14ac:dyDescent="0.25">
      <c r="A80" s="94" t="s">
        <v>604</v>
      </c>
      <c r="B80" s="78">
        <f>INSUMOS!B4</f>
        <v>87000</v>
      </c>
      <c r="C80" s="107">
        <v>0.2</v>
      </c>
      <c r="D80" s="78">
        <f>C80*B80</f>
        <v>17400</v>
      </c>
      <c r="E80" s="97">
        <f>C80*INSUMOS!E4</f>
        <v>1.7899441699119105</v>
      </c>
    </row>
    <row r="81" spans="1:5" x14ac:dyDescent="0.25">
      <c r="A81" s="94" t="s">
        <v>605</v>
      </c>
      <c r="B81" s="78">
        <f>INSUMOS!B252</f>
        <v>180000</v>
      </c>
      <c r="C81" s="108">
        <v>1</v>
      </c>
      <c r="D81" s="78">
        <f>C81*B81</f>
        <v>180000</v>
      </c>
      <c r="E81" s="99" t="s">
        <v>232</v>
      </c>
    </row>
    <row r="82" spans="1:5" x14ac:dyDescent="0.25">
      <c r="A82" s="82"/>
      <c r="B82" s="83"/>
      <c r="C82" s="109" t="s">
        <v>122</v>
      </c>
      <c r="D82" s="83">
        <f>SUM(D80:D81)</f>
        <v>197400</v>
      </c>
      <c r="E82" s="100">
        <f>SUM(E80:E81)</f>
        <v>1.7899441699119105</v>
      </c>
    </row>
    <row r="84" spans="1:5" x14ac:dyDescent="0.25">
      <c r="A84" s="279" t="s">
        <v>626</v>
      </c>
      <c r="B84" s="279"/>
      <c r="C84" s="279"/>
      <c r="D84" s="279"/>
      <c r="E84" s="279"/>
    </row>
    <row r="85" spans="1:5" x14ac:dyDescent="0.25">
      <c r="A85" s="72" t="s">
        <v>92</v>
      </c>
      <c r="B85" s="72" t="s">
        <v>344</v>
      </c>
      <c r="C85" s="72" t="s">
        <v>603</v>
      </c>
      <c r="D85" s="72" t="s">
        <v>228</v>
      </c>
      <c r="E85" s="73" t="s">
        <v>229</v>
      </c>
    </row>
    <row r="86" spans="1:5" x14ac:dyDescent="0.25">
      <c r="A86" s="94" t="s">
        <v>607</v>
      </c>
      <c r="B86" s="78">
        <f>INSUMOS!B5</f>
        <v>154000</v>
      </c>
      <c r="C86" s="107">
        <v>0.2</v>
      </c>
      <c r="D86" s="78">
        <f>C86*B86</f>
        <v>30800</v>
      </c>
      <c r="E86" s="97">
        <f>C86*INSUMOS!E5</f>
        <v>3.1821229687322856</v>
      </c>
    </row>
    <row r="87" spans="1:5" x14ac:dyDescent="0.25">
      <c r="A87" s="94" t="s">
        <v>608</v>
      </c>
      <c r="B87" s="78">
        <f>INSUMOS!B255</f>
        <v>202000</v>
      </c>
      <c r="C87" s="108">
        <v>1</v>
      </c>
      <c r="D87" s="78">
        <f>C87*B87</f>
        <v>202000</v>
      </c>
      <c r="E87" s="99" t="s">
        <v>232</v>
      </c>
    </row>
    <row r="88" spans="1:5" x14ac:dyDescent="0.25">
      <c r="A88" s="82"/>
      <c r="B88" s="83"/>
      <c r="C88" s="109" t="s">
        <v>122</v>
      </c>
      <c r="D88" s="83">
        <f>SUM(D86:D87)</f>
        <v>232800</v>
      </c>
      <c r="E88" s="100">
        <f>SUM(E86:E87)</f>
        <v>3.1821229687322856</v>
      </c>
    </row>
    <row r="90" spans="1:5" x14ac:dyDescent="0.25">
      <c r="A90" s="279" t="s">
        <v>627</v>
      </c>
      <c r="B90" s="279"/>
      <c r="C90" s="279"/>
      <c r="D90" s="279"/>
      <c r="E90" s="279"/>
    </row>
    <row r="91" spans="1:5" x14ac:dyDescent="0.25">
      <c r="A91" s="72" t="s">
        <v>92</v>
      </c>
      <c r="B91" s="72" t="s">
        <v>344</v>
      </c>
      <c r="C91" s="72" t="s">
        <v>603</v>
      </c>
      <c r="D91" s="72" t="s">
        <v>228</v>
      </c>
      <c r="E91" s="73" t="s">
        <v>229</v>
      </c>
    </row>
    <row r="92" spans="1:5" x14ac:dyDescent="0.25">
      <c r="A92" s="94" t="s">
        <v>611</v>
      </c>
      <c r="B92" s="78">
        <f>INSUMOS!B7</f>
        <v>461000</v>
      </c>
      <c r="C92" s="107">
        <v>0.2</v>
      </c>
      <c r="D92" s="78">
        <f>C92*B92</f>
        <v>92200</v>
      </c>
      <c r="E92" s="97">
        <f>C92*INSUMOS!E7</f>
        <v>7.1597766796476421</v>
      </c>
    </row>
    <row r="93" spans="1:5" x14ac:dyDescent="0.25">
      <c r="A93" s="94" t="s">
        <v>612</v>
      </c>
      <c r="B93" s="78">
        <f>INSUMOS!B258</f>
        <v>266000</v>
      </c>
      <c r="C93" s="108">
        <v>1</v>
      </c>
      <c r="D93" s="78">
        <f>C93*B93</f>
        <v>266000</v>
      </c>
      <c r="E93" s="99" t="s">
        <v>232</v>
      </c>
    </row>
    <row r="94" spans="1:5" x14ac:dyDescent="0.25">
      <c r="A94" s="82"/>
      <c r="B94" s="83"/>
      <c r="C94" s="109" t="s">
        <v>122</v>
      </c>
      <c r="D94" s="83">
        <f>SUM(D92:D93)</f>
        <v>358200</v>
      </c>
      <c r="E94" s="100">
        <f>SUM(E92:E93)</f>
        <v>7.1597766796476421</v>
      </c>
    </row>
    <row r="96" spans="1:5" x14ac:dyDescent="0.25">
      <c r="A96" s="279" t="s">
        <v>628</v>
      </c>
      <c r="B96" s="279"/>
      <c r="C96" s="279"/>
      <c r="D96" s="279"/>
      <c r="E96" s="279"/>
    </row>
    <row r="97" spans="1:5" x14ac:dyDescent="0.25">
      <c r="A97" s="72" t="s">
        <v>92</v>
      </c>
      <c r="B97" s="72" t="s">
        <v>344</v>
      </c>
      <c r="C97" s="72" t="s">
        <v>603</v>
      </c>
      <c r="D97" s="72" t="s">
        <v>228</v>
      </c>
      <c r="E97" s="73" t="s">
        <v>229</v>
      </c>
    </row>
    <row r="98" spans="1:5" x14ac:dyDescent="0.25">
      <c r="A98" s="94" t="s">
        <v>607</v>
      </c>
      <c r="B98" s="78">
        <f>INSUMOS!B5</f>
        <v>154000</v>
      </c>
      <c r="C98" s="107">
        <v>0.2</v>
      </c>
      <c r="D98" s="78">
        <f>C98*B98</f>
        <v>30800</v>
      </c>
      <c r="E98" s="97">
        <f>C98*INSUMOS!E5</f>
        <v>3.1821229687322856</v>
      </c>
    </row>
    <row r="99" spans="1:5" x14ac:dyDescent="0.25">
      <c r="A99" s="94" t="s">
        <v>608</v>
      </c>
      <c r="B99" s="78">
        <f>INSUMOS!B255</f>
        <v>202000</v>
      </c>
      <c r="C99" s="108">
        <v>1</v>
      </c>
      <c r="D99" s="78">
        <f>C99*B99</f>
        <v>202000</v>
      </c>
      <c r="E99" s="99" t="s">
        <v>232</v>
      </c>
    </row>
    <row r="100" spans="1:5" x14ac:dyDescent="0.25">
      <c r="A100" s="82"/>
      <c r="B100" s="83"/>
      <c r="C100" s="109" t="s">
        <v>122</v>
      </c>
      <c r="D100" s="83">
        <f>SUM(D98:D99)</f>
        <v>232800</v>
      </c>
      <c r="E100" s="100">
        <f>SUM(E98:E99)</f>
        <v>3.1821229687322856</v>
      </c>
    </row>
    <row r="102" spans="1:5" x14ac:dyDescent="0.25">
      <c r="A102" s="279" t="s">
        <v>629</v>
      </c>
      <c r="B102" s="279"/>
      <c r="C102" s="279"/>
      <c r="D102" s="279"/>
      <c r="E102" s="279"/>
    </row>
    <row r="103" spans="1:5" x14ac:dyDescent="0.25">
      <c r="A103" s="72" t="s">
        <v>92</v>
      </c>
      <c r="B103" s="72" t="s">
        <v>344</v>
      </c>
      <c r="C103" s="72" t="s">
        <v>603</v>
      </c>
      <c r="D103" s="72" t="s">
        <v>228</v>
      </c>
      <c r="E103" s="73" t="s">
        <v>229</v>
      </c>
    </row>
    <row r="104" spans="1:5" x14ac:dyDescent="0.25">
      <c r="A104" s="94" t="s">
        <v>604</v>
      </c>
      <c r="B104" s="78">
        <f>INSUMOS!B4</f>
        <v>87000</v>
      </c>
      <c r="C104" s="107">
        <v>0.2</v>
      </c>
      <c r="D104" s="78">
        <f>C104*B104</f>
        <v>17400</v>
      </c>
      <c r="E104" s="97">
        <f>C104*INSUMOS!E4</f>
        <v>1.7899441699119105</v>
      </c>
    </row>
    <row r="105" spans="1:5" x14ac:dyDescent="0.25">
      <c r="A105" s="94" t="s">
        <v>605</v>
      </c>
      <c r="B105" s="78">
        <f>INSUMOS!B252</f>
        <v>180000</v>
      </c>
      <c r="C105" s="108">
        <v>1</v>
      </c>
      <c r="D105" s="78">
        <f>C105*B105</f>
        <v>180000</v>
      </c>
      <c r="E105" s="99" t="s">
        <v>232</v>
      </c>
    </row>
    <row r="106" spans="1:5" x14ac:dyDescent="0.25">
      <c r="A106" s="82"/>
      <c r="B106" s="83"/>
      <c r="C106" s="109" t="s">
        <v>122</v>
      </c>
      <c r="D106" s="83">
        <f>SUM(D104:D105)</f>
        <v>197400</v>
      </c>
      <c r="E106" s="100">
        <f>SUM(E104:E105)</f>
        <v>1.7899441699119105</v>
      </c>
    </row>
    <row r="108" spans="1:5" x14ac:dyDescent="0.25">
      <c r="A108" s="279" t="s">
        <v>630</v>
      </c>
      <c r="B108" s="279"/>
      <c r="C108" s="279"/>
      <c r="D108" s="279"/>
      <c r="E108" s="279"/>
    </row>
    <row r="109" spans="1:5" x14ac:dyDescent="0.25">
      <c r="A109" s="72" t="s">
        <v>92</v>
      </c>
      <c r="B109" s="72" t="s">
        <v>344</v>
      </c>
      <c r="C109" s="72" t="s">
        <v>603</v>
      </c>
      <c r="D109" s="72" t="s">
        <v>228</v>
      </c>
      <c r="E109" s="73" t="s">
        <v>229</v>
      </c>
    </row>
    <row r="110" spans="1:5" x14ac:dyDescent="0.25">
      <c r="A110" s="94" t="s">
        <v>607</v>
      </c>
      <c r="B110" s="78">
        <f>INSUMOS!B5</f>
        <v>154000</v>
      </c>
      <c r="C110" s="107">
        <v>0.2</v>
      </c>
      <c r="D110" s="78">
        <f>C110*B110</f>
        <v>30800</v>
      </c>
      <c r="E110" s="97">
        <f>C110*INSUMOS!E5</f>
        <v>3.1821229687322856</v>
      </c>
    </row>
    <row r="111" spans="1:5" x14ac:dyDescent="0.25">
      <c r="A111" s="94" t="s">
        <v>608</v>
      </c>
      <c r="B111" s="78">
        <f>INSUMOS!B255</f>
        <v>202000</v>
      </c>
      <c r="C111" s="108">
        <v>1</v>
      </c>
      <c r="D111" s="78">
        <f>C111*B111</f>
        <v>202000</v>
      </c>
      <c r="E111" s="99" t="s">
        <v>232</v>
      </c>
    </row>
    <row r="112" spans="1:5" x14ac:dyDescent="0.25">
      <c r="A112" s="82"/>
      <c r="B112" s="83"/>
      <c r="C112" s="109" t="s">
        <v>122</v>
      </c>
      <c r="D112" s="83">
        <f>SUM(D110:D111)</f>
        <v>232800</v>
      </c>
      <c r="E112" s="100">
        <f>SUM(E110:E111)</f>
        <v>3.1821229687322856</v>
      </c>
    </row>
    <row r="114" spans="1:5" x14ac:dyDescent="0.25">
      <c r="A114" s="279" t="s">
        <v>631</v>
      </c>
      <c r="B114" s="279"/>
      <c r="C114" s="279"/>
      <c r="D114" s="279"/>
      <c r="E114" s="279"/>
    </row>
    <row r="115" spans="1:5" x14ac:dyDescent="0.25">
      <c r="A115" s="72" t="s">
        <v>92</v>
      </c>
      <c r="B115" s="72" t="s">
        <v>344</v>
      </c>
      <c r="C115" s="72" t="s">
        <v>603</v>
      </c>
      <c r="D115" s="72" t="s">
        <v>228</v>
      </c>
      <c r="E115" s="73" t="s">
        <v>229</v>
      </c>
    </row>
    <row r="116" spans="1:5" x14ac:dyDescent="0.25">
      <c r="A116" s="94" t="s">
        <v>632</v>
      </c>
      <c r="B116" s="78">
        <f>INSUMOS!B8</f>
        <v>563000</v>
      </c>
      <c r="C116" s="107">
        <v>0.3</v>
      </c>
      <c r="D116" s="78">
        <f>C116*B116</f>
        <v>168900</v>
      </c>
      <c r="E116" s="97">
        <f>C116*INSUMOS!E8</f>
        <v>19.092737812393711</v>
      </c>
    </row>
    <row r="117" spans="1:5" ht="30" x14ac:dyDescent="0.25">
      <c r="A117" s="111" t="s">
        <v>633</v>
      </c>
      <c r="B117" s="78">
        <f>INSUMOS!B256</f>
        <v>280000</v>
      </c>
      <c r="C117" s="108">
        <v>1</v>
      </c>
      <c r="D117" s="78">
        <f>C117*B117</f>
        <v>280000</v>
      </c>
      <c r="E117" s="99" t="s">
        <v>232</v>
      </c>
    </row>
    <row r="118" spans="1:5" x14ac:dyDescent="0.25">
      <c r="A118" s="82"/>
      <c r="B118" s="83"/>
      <c r="C118" s="109" t="s">
        <v>122</v>
      </c>
      <c r="D118" s="83">
        <f>SUM(D116:D117)</f>
        <v>448900</v>
      </c>
      <c r="E118" s="100">
        <f>SUM(E116:E117)</f>
        <v>19.092737812393711</v>
      </c>
    </row>
    <row r="120" spans="1:5" x14ac:dyDescent="0.25">
      <c r="A120" s="279" t="s">
        <v>634</v>
      </c>
      <c r="B120" s="279"/>
      <c r="C120" s="279"/>
      <c r="D120" s="279"/>
      <c r="E120" s="279"/>
    </row>
    <row r="121" spans="1:5" x14ac:dyDescent="0.25">
      <c r="A121" s="72" t="s">
        <v>92</v>
      </c>
      <c r="B121" s="72" t="s">
        <v>344</v>
      </c>
      <c r="C121" s="72" t="s">
        <v>603</v>
      </c>
      <c r="D121" s="72" t="s">
        <v>228</v>
      </c>
      <c r="E121" s="73" t="s">
        <v>229</v>
      </c>
    </row>
    <row r="122" spans="1:5" x14ac:dyDescent="0.25">
      <c r="A122" s="94" t="s">
        <v>635</v>
      </c>
      <c r="B122" s="78">
        <f>INSUMOS!B16</f>
        <v>240000</v>
      </c>
      <c r="C122" s="107">
        <v>0.2</v>
      </c>
      <c r="D122" s="78">
        <f>C122*B122</f>
        <v>48000</v>
      </c>
      <c r="E122" s="97">
        <f>C122*INSUMOS!E5</f>
        <v>3.1821229687322856</v>
      </c>
    </row>
    <row r="123" spans="1:5" x14ac:dyDescent="0.25">
      <c r="A123" s="94" t="s">
        <v>608</v>
      </c>
      <c r="B123" s="78">
        <f>INSUMOS!B255</f>
        <v>202000</v>
      </c>
      <c r="C123" s="108">
        <v>1</v>
      </c>
      <c r="D123" s="78">
        <f>C123*B123</f>
        <v>202000</v>
      </c>
      <c r="E123" s="99" t="s">
        <v>232</v>
      </c>
    </row>
    <row r="124" spans="1:5" x14ac:dyDescent="0.25">
      <c r="A124" s="82"/>
      <c r="B124" s="83"/>
      <c r="C124" s="109" t="s">
        <v>122</v>
      </c>
      <c r="D124" s="83">
        <f>SUM(D122:D123)</f>
        <v>250000</v>
      </c>
      <c r="E124" s="100">
        <f>SUM(E122:E123)</f>
        <v>3.1821229687322856</v>
      </c>
    </row>
    <row r="126" spans="1:5" x14ac:dyDescent="0.25">
      <c r="A126" s="279" t="s">
        <v>636</v>
      </c>
      <c r="B126" s="279"/>
      <c r="C126" s="279"/>
      <c r="D126" s="279"/>
      <c r="E126" s="279"/>
    </row>
    <row r="127" spans="1:5" x14ac:dyDescent="0.25">
      <c r="A127" s="72" t="s">
        <v>92</v>
      </c>
      <c r="B127" s="72" t="s">
        <v>344</v>
      </c>
      <c r="C127" s="72" t="s">
        <v>603</v>
      </c>
      <c r="D127" s="72" t="s">
        <v>228</v>
      </c>
      <c r="E127" s="73" t="s">
        <v>229</v>
      </c>
    </row>
    <row r="128" spans="1:5" x14ac:dyDescent="0.25">
      <c r="A128" s="94" t="s">
        <v>619</v>
      </c>
      <c r="B128" s="78">
        <f>INSUMOS!B15</f>
        <v>140000</v>
      </c>
      <c r="C128" s="107">
        <v>0.2</v>
      </c>
      <c r="D128" s="78">
        <f>C128*B128</f>
        <v>28000</v>
      </c>
      <c r="E128" s="97">
        <f>C128*INSUMOS!E4</f>
        <v>1.7899441699119105</v>
      </c>
    </row>
    <row r="129" spans="1:5" x14ac:dyDescent="0.25">
      <c r="A129" s="94" t="s">
        <v>605</v>
      </c>
      <c r="B129" s="78">
        <f>INSUMOS!B252</f>
        <v>180000</v>
      </c>
      <c r="C129" s="108">
        <v>1</v>
      </c>
      <c r="D129" s="78">
        <f>C129*B129</f>
        <v>180000</v>
      </c>
      <c r="E129" s="99"/>
    </row>
    <row r="130" spans="1:5" x14ac:dyDescent="0.25">
      <c r="A130" s="82"/>
      <c r="B130" s="83"/>
      <c r="C130" s="109" t="s">
        <v>122</v>
      </c>
      <c r="D130" s="83">
        <f>SUM(D128:D129)</f>
        <v>208000</v>
      </c>
      <c r="E130" s="100">
        <f>SUM(E128:E129)</f>
        <v>1.7899441699119105</v>
      </c>
    </row>
    <row r="132" spans="1:5" x14ac:dyDescent="0.25">
      <c r="A132" s="279" t="s">
        <v>637</v>
      </c>
      <c r="B132" s="279"/>
      <c r="C132" s="279"/>
      <c r="D132" s="279"/>
      <c r="E132" s="279"/>
    </row>
    <row r="133" spans="1:5" x14ac:dyDescent="0.25">
      <c r="A133" s="72" t="s">
        <v>92</v>
      </c>
      <c r="B133" s="72" t="s">
        <v>344</v>
      </c>
      <c r="C133" s="72" t="s">
        <v>603</v>
      </c>
      <c r="D133" s="72" t="s">
        <v>228</v>
      </c>
      <c r="E133" s="73" t="s">
        <v>229</v>
      </c>
    </row>
    <row r="134" spans="1:5" x14ac:dyDescent="0.25">
      <c r="A134" s="94" t="s">
        <v>607</v>
      </c>
      <c r="B134" s="78">
        <f>INSUMOS!B5</f>
        <v>154000</v>
      </c>
      <c r="C134" s="107">
        <v>0.2</v>
      </c>
      <c r="D134" s="78">
        <f>C134*B134</f>
        <v>30800</v>
      </c>
      <c r="E134" s="97">
        <f>C134*INSUMOS!E53</f>
        <v>12.06</v>
      </c>
    </row>
    <row r="135" spans="1:5" x14ac:dyDescent="0.25">
      <c r="A135" s="94" t="s">
        <v>638</v>
      </c>
      <c r="B135" s="78">
        <f>INSUMOS!B253</f>
        <v>180000</v>
      </c>
      <c r="C135" s="108">
        <v>1</v>
      </c>
      <c r="D135" s="78">
        <f>C135*B135</f>
        <v>180000</v>
      </c>
      <c r="E135" s="99" t="s">
        <v>232</v>
      </c>
    </row>
    <row r="136" spans="1:5" x14ac:dyDescent="0.25">
      <c r="A136" s="82"/>
      <c r="B136" s="83"/>
      <c r="C136" s="109" t="s">
        <v>122</v>
      </c>
      <c r="D136" s="83">
        <f>SUM(D134:D135)</f>
        <v>210800</v>
      </c>
      <c r="E136" s="100">
        <f>SUM(E134:E135)</f>
        <v>12.06</v>
      </c>
    </row>
    <row r="138" spans="1:5" x14ac:dyDescent="0.25">
      <c r="A138" s="279" t="s">
        <v>639</v>
      </c>
      <c r="B138" s="279"/>
      <c r="C138" s="279"/>
      <c r="D138" s="279"/>
      <c r="E138" s="279"/>
    </row>
    <row r="139" spans="1:5" x14ac:dyDescent="0.25">
      <c r="A139" s="72" t="s">
        <v>92</v>
      </c>
      <c r="B139" s="72" t="s">
        <v>344</v>
      </c>
      <c r="C139" s="72" t="s">
        <v>603</v>
      </c>
      <c r="D139" s="72" t="s">
        <v>228</v>
      </c>
      <c r="E139" s="73" t="s">
        <v>229</v>
      </c>
    </row>
    <row r="140" spans="1:5" x14ac:dyDescent="0.25">
      <c r="A140" s="94" t="s">
        <v>640</v>
      </c>
      <c r="B140" s="78">
        <f>INSUMOS!B19</f>
        <v>461000</v>
      </c>
      <c r="C140" s="107">
        <v>0.2</v>
      </c>
      <c r="D140" s="78">
        <f>C140*B140</f>
        <v>92200</v>
      </c>
      <c r="E140" s="97">
        <f>C140*INSUMOS!E16</f>
        <v>3.1821229687322856</v>
      </c>
    </row>
    <row r="141" spans="1:5" x14ac:dyDescent="0.25">
      <c r="A141" s="94" t="s">
        <v>608</v>
      </c>
      <c r="B141" s="78">
        <f>INSUMOS!B268</f>
        <v>250000</v>
      </c>
      <c r="C141" s="108">
        <v>1</v>
      </c>
      <c r="D141" s="78">
        <f>C141*B141</f>
        <v>250000</v>
      </c>
      <c r="E141" s="99" t="s">
        <v>232</v>
      </c>
    </row>
    <row r="142" spans="1:5" x14ac:dyDescent="0.25">
      <c r="A142" s="82"/>
      <c r="B142" s="83"/>
      <c r="C142" s="109" t="s">
        <v>122</v>
      </c>
      <c r="D142" s="83">
        <f>SUM(D140:D141)</f>
        <v>342200</v>
      </c>
      <c r="E142" s="100">
        <f>SUM(E140:E141)</f>
        <v>3.1821229687322856</v>
      </c>
    </row>
    <row r="144" spans="1:5" x14ac:dyDescent="0.25">
      <c r="A144" s="279" t="s">
        <v>641</v>
      </c>
      <c r="B144" s="279"/>
      <c r="C144" s="279"/>
      <c r="D144" s="279"/>
      <c r="E144" s="279"/>
    </row>
    <row r="145" spans="1:5" x14ac:dyDescent="0.25">
      <c r="A145" s="72" t="s">
        <v>92</v>
      </c>
      <c r="B145" s="72" t="s">
        <v>344</v>
      </c>
      <c r="C145" s="72" t="s">
        <v>603</v>
      </c>
      <c r="D145" s="72" t="s">
        <v>228</v>
      </c>
      <c r="E145" s="73" t="s">
        <v>229</v>
      </c>
    </row>
    <row r="146" spans="1:5" x14ac:dyDescent="0.25">
      <c r="A146" s="94" t="s">
        <v>611</v>
      </c>
      <c r="B146" s="78">
        <f>INSUMOS!B7</f>
        <v>461000</v>
      </c>
      <c r="C146" s="107">
        <v>0.2</v>
      </c>
      <c r="D146" s="78">
        <f>C146*B146</f>
        <v>92200</v>
      </c>
      <c r="E146" s="97">
        <f>C146*INSUMOS!E7</f>
        <v>7.1597766796476421</v>
      </c>
    </row>
    <row r="147" spans="1:5" x14ac:dyDescent="0.25">
      <c r="A147" s="94" t="s">
        <v>612</v>
      </c>
      <c r="B147" s="78">
        <f>INSUMOS!B258</f>
        <v>266000</v>
      </c>
      <c r="C147" s="108">
        <v>1</v>
      </c>
      <c r="D147" s="78">
        <f>C147*B147</f>
        <v>266000</v>
      </c>
      <c r="E147" s="99" t="s">
        <v>232</v>
      </c>
    </row>
    <row r="148" spans="1:5" x14ac:dyDescent="0.25">
      <c r="A148" s="82"/>
      <c r="B148" s="83"/>
      <c r="C148" s="109" t="s">
        <v>122</v>
      </c>
      <c r="D148" s="83">
        <f>SUM(D146:D147)</f>
        <v>358200</v>
      </c>
      <c r="E148" s="100">
        <f>SUM(E146:E147)</f>
        <v>7.1597766796476421</v>
      </c>
    </row>
    <row r="150" spans="1:5" x14ac:dyDescent="0.25">
      <c r="A150" s="279" t="s">
        <v>642</v>
      </c>
      <c r="B150" s="279"/>
      <c r="C150" s="279"/>
      <c r="D150" s="279"/>
      <c r="E150" s="279"/>
    </row>
    <row r="151" spans="1:5" x14ac:dyDescent="0.25">
      <c r="A151" s="72" t="s">
        <v>92</v>
      </c>
      <c r="B151" s="72" t="s">
        <v>344</v>
      </c>
      <c r="C151" s="72" t="s">
        <v>603</v>
      </c>
      <c r="D151" s="72" t="s">
        <v>228</v>
      </c>
      <c r="E151" s="73" t="s">
        <v>229</v>
      </c>
    </row>
    <row r="152" spans="1:5" x14ac:dyDescent="0.25">
      <c r="A152" s="94" t="s">
        <v>635</v>
      </c>
      <c r="B152" s="78">
        <f>INSUMOS!B16</f>
        <v>240000</v>
      </c>
      <c r="C152" s="107">
        <v>0.2</v>
      </c>
      <c r="D152" s="78">
        <f>C152*B152</f>
        <v>48000</v>
      </c>
      <c r="E152" s="97">
        <f>C152*INSUMOS!E16</f>
        <v>3.1821229687322856</v>
      </c>
    </row>
    <row r="153" spans="1:5" x14ac:dyDescent="0.25">
      <c r="A153" s="94" t="s">
        <v>608</v>
      </c>
      <c r="B153" s="78">
        <f>INSUMOS!B255</f>
        <v>202000</v>
      </c>
      <c r="C153" s="108">
        <v>1</v>
      </c>
      <c r="D153" s="78">
        <f>C153*B153</f>
        <v>202000</v>
      </c>
      <c r="E153" s="99" t="s">
        <v>232</v>
      </c>
    </row>
    <row r="154" spans="1:5" x14ac:dyDescent="0.25">
      <c r="A154" s="82"/>
      <c r="B154" s="83"/>
      <c r="C154" s="109" t="s">
        <v>122</v>
      </c>
      <c r="D154" s="83">
        <f>SUM(D152:D153)</f>
        <v>250000</v>
      </c>
      <c r="E154" s="100">
        <f>SUM(E152:E153)</f>
        <v>3.1821229687322856</v>
      </c>
    </row>
    <row r="156" spans="1:5" x14ac:dyDescent="0.25">
      <c r="A156" s="279" t="s">
        <v>643</v>
      </c>
      <c r="B156" s="279"/>
      <c r="C156" s="279"/>
      <c r="D156" s="279"/>
      <c r="E156" s="279"/>
    </row>
    <row r="157" spans="1:5" x14ac:dyDescent="0.25">
      <c r="A157" s="72" t="s">
        <v>92</v>
      </c>
      <c r="B157" s="72" t="s">
        <v>344</v>
      </c>
      <c r="C157" s="72" t="s">
        <v>603</v>
      </c>
      <c r="D157" s="72" t="s">
        <v>228</v>
      </c>
      <c r="E157" s="73" t="s">
        <v>229</v>
      </c>
    </row>
    <row r="158" spans="1:5" x14ac:dyDescent="0.25">
      <c r="A158" s="94" t="s">
        <v>635</v>
      </c>
      <c r="B158" s="78">
        <f>INSUMOS!B16</f>
        <v>240000</v>
      </c>
      <c r="C158" s="107">
        <v>0.2</v>
      </c>
      <c r="D158" s="78">
        <f>C158*B158</f>
        <v>48000</v>
      </c>
      <c r="E158" s="97">
        <f>C158*INSUMOS!E16</f>
        <v>3.1821229687322856</v>
      </c>
    </row>
    <row r="159" spans="1:5" x14ac:dyDescent="0.25">
      <c r="A159" s="94" t="s">
        <v>608</v>
      </c>
      <c r="B159" s="78">
        <f>INSUMOS!B255</f>
        <v>202000</v>
      </c>
      <c r="C159" s="108">
        <v>1</v>
      </c>
      <c r="D159" s="78">
        <f>C159*B159</f>
        <v>202000</v>
      </c>
      <c r="E159" s="99" t="s">
        <v>232</v>
      </c>
    </row>
    <row r="160" spans="1:5" x14ac:dyDescent="0.25">
      <c r="A160" s="82"/>
      <c r="B160" s="83"/>
      <c r="C160" s="109" t="s">
        <v>122</v>
      </c>
      <c r="D160" s="83">
        <f>SUM(D158:D159)</f>
        <v>250000</v>
      </c>
      <c r="E160" s="100">
        <f>SUM(E158:E159)</f>
        <v>3.1821229687322856</v>
      </c>
    </row>
    <row r="162" spans="1:5" x14ac:dyDescent="0.25">
      <c r="A162" s="279" t="s">
        <v>644</v>
      </c>
      <c r="B162" s="279"/>
      <c r="C162" s="279"/>
      <c r="D162" s="279"/>
      <c r="E162" s="279"/>
    </row>
    <row r="163" spans="1:5" x14ac:dyDescent="0.25">
      <c r="A163" s="71" t="s">
        <v>92</v>
      </c>
      <c r="B163" s="72" t="s">
        <v>344</v>
      </c>
      <c r="C163" s="72" t="s">
        <v>603</v>
      </c>
      <c r="D163" s="72" t="s">
        <v>228</v>
      </c>
      <c r="E163" s="73" t="s">
        <v>229</v>
      </c>
    </row>
    <row r="164" spans="1:5" x14ac:dyDescent="0.25">
      <c r="A164" s="94" t="s">
        <v>645</v>
      </c>
      <c r="B164" s="78">
        <f>+INSUMOS!B16</f>
        <v>240000</v>
      </c>
      <c r="C164" s="107">
        <v>0.2</v>
      </c>
      <c r="D164" s="78">
        <f>C164*B164</f>
        <v>48000</v>
      </c>
      <c r="E164" s="97">
        <f>0.2*INSUMOS!E162</f>
        <v>0.64000000000000012</v>
      </c>
    </row>
    <row r="165" spans="1:5" x14ac:dyDescent="0.25">
      <c r="A165" s="94" t="s">
        <v>646</v>
      </c>
      <c r="B165" s="78">
        <f>+INSUMOS!B255</f>
        <v>202000</v>
      </c>
      <c r="C165" s="108">
        <v>1</v>
      </c>
      <c r="D165" s="78">
        <f>C165*B165</f>
        <v>202000</v>
      </c>
      <c r="E165" s="99" t="s">
        <v>232</v>
      </c>
    </row>
    <row r="166" spans="1:5" x14ac:dyDescent="0.25">
      <c r="A166" s="82"/>
      <c r="B166" s="83"/>
      <c r="C166" s="109" t="s">
        <v>122</v>
      </c>
      <c r="D166" s="83">
        <f>SUM(D164:D165)</f>
        <v>250000</v>
      </c>
      <c r="E166" s="100">
        <f>SUM(E164:E165)</f>
        <v>0.64000000000000012</v>
      </c>
    </row>
  </sheetData>
  <mergeCells count="27">
    <mergeCell ref="A156:E156"/>
    <mergeCell ref="A162:E162"/>
    <mergeCell ref="A126:E126"/>
    <mergeCell ref="A132:E132"/>
    <mergeCell ref="A138:E138"/>
    <mergeCell ref="A144:E144"/>
    <mergeCell ref="A150:E150"/>
    <mergeCell ref="A96:E96"/>
    <mergeCell ref="A102:E102"/>
    <mergeCell ref="A108:E108"/>
    <mergeCell ref="A114:E114"/>
    <mergeCell ref="A120:E120"/>
    <mergeCell ref="A66:E66"/>
    <mergeCell ref="A72:E72"/>
    <mergeCell ref="A78:E78"/>
    <mergeCell ref="A84:E84"/>
    <mergeCell ref="A90:E90"/>
    <mergeCell ref="A35:E35"/>
    <mergeCell ref="A42:E42"/>
    <mergeCell ref="A48:E48"/>
    <mergeCell ref="A54:E54"/>
    <mergeCell ref="A60:E60"/>
    <mergeCell ref="A1:E1"/>
    <mergeCell ref="A8:E8"/>
    <mergeCell ref="A14:E14"/>
    <mergeCell ref="A21:E21"/>
    <mergeCell ref="A28:E28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68"/>
  <sheetViews>
    <sheetView topLeftCell="A1993" zoomScale="85" zoomScaleNormal="85" workbookViewId="0">
      <selection activeCell="G2169" sqref="G2169"/>
    </sheetView>
  </sheetViews>
  <sheetFormatPr baseColWidth="10" defaultColWidth="9.140625" defaultRowHeight="15" x14ac:dyDescent="0.25"/>
  <cols>
    <col min="1" max="1" width="35.140625" customWidth="1"/>
    <col min="2" max="3" width="12" customWidth="1"/>
    <col min="4" max="4" width="12.42578125" customWidth="1"/>
    <col min="5" max="6" width="9.140625" customWidth="1"/>
    <col min="7" max="7" width="33.7109375" customWidth="1"/>
    <col min="8" max="8" width="10.28515625" customWidth="1"/>
    <col min="9" max="10" width="9.140625" customWidth="1"/>
    <col min="11" max="11" width="33.7109375" customWidth="1"/>
    <col min="12" max="12" width="12.42578125" customWidth="1"/>
    <col min="13" max="14" width="9.140625" customWidth="1"/>
    <col min="15" max="15" width="30.7109375" customWidth="1"/>
    <col min="16" max="16" width="12" customWidth="1"/>
    <col min="17" max="18" width="9.140625" customWidth="1"/>
    <col min="19" max="19" width="29.7109375" customWidth="1"/>
    <col min="20" max="20" width="11.85546875" customWidth="1"/>
    <col min="21" max="22" width="9.140625" customWidth="1"/>
    <col min="23" max="23" width="30.7109375" customWidth="1"/>
    <col min="24" max="24" width="11.85546875" customWidth="1"/>
    <col min="25" max="1025" width="9.140625" customWidth="1"/>
  </cols>
  <sheetData>
    <row r="1" spans="1:5" x14ac:dyDescent="0.25">
      <c r="A1" s="279" t="s">
        <v>647</v>
      </c>
      <c r="B1" s="279"/>
      <c r="C1" s="279"/>
      <c r="D1" s="279"/>
      <c r="E1" s="279"/>
    </row>
    <row r="2" spans="1:5" x14ac:dyDescent="0.25">
      <c r="A2" s="72" t="s">
        <v>92</v>
      </c>
      <c r="B2" s="72" t="s">
        <v>226</v>
      </c>
      <c r="C2" s="72" t="s">
        <v>227</v>
      </c>
      <c r="D2" s="72" t="s">
        <v>228</v>
      </c>
      <c r="E2" s="73" t="s">
        <v>229</v>
      </c>
    </row>
    <row r="3" spans="1:5" x14ac:dyDescent="0.25">
      <c r="A3" s="74" t="s">
        <v>648</v>
      </c>
      <c r="B3" s="75">
        <f>INSUMOS!B128</f>
        <v>120000</v>
      </c>
      <c r="C3" s="103">
        <v>1</v>
      </c>
      <c r="D3" s="75">
        <f>C3*B3</f>
        <v>120000</v>
      </c>
      <c r="E3" s="102">
        <f>INSUMOS!E128</f>
        <v>0.97</v>
      </c>
    </row>
    <row r="4" spans="1:5" x14ac:dyDescent="0.25">
      <c r="A4" s="77" t="s">
        <v>649</v>
      </c>
      <c r="B4" s="78">
        <f>INSUMOS!B4</f>
        <v>87000</v>
      </c>
      <c r="C4" s="98">
        <v>0.15</v>
      </c>
      <c r="D4" s="75">
        <f>C4*B4</f>
        <v>13050</v>
      </c>
      <c r="E4" s="97">
        <f>0.15*INSUMOS!E4</f>
        <v>1.3424581274339329</v>
      </c>
    </row>
    <row r="5" spans="1:5" x14ac:dyDescent="0.25">
      <c r="A5" s="77" t="s">
        <v>650</v>
      </c>
      <c r="B5" s="78">
        <f>INSUMOS!B296</f>
        <v>178200</v>
      </c>
      <c r="C5" s="98">
        <v>1</v>
      </c>
      <c r="D5" s="75">
        <f>C5*B5</f>
        <v>178200</v>
      </c>
      <c r="E5" s="105" t="s">
        <v>232</v>
      </c>
    </row>
    <row r="6" spans="1:5" x14ac:dyDescent="0.25">
      <c r="A6" s="77" t="s">
        <v>651</v>
      </c>
      <c r="B6" s="78">
        <f>INSUMOS!B286</f>
        <v>50000</v>
      </c>
      <c r="C6" s="98">
        <v>1</v>
      </c>
      <c r="D6" s="75">
        <f>C6*B6</f>
        <v>50000</v>
      </c>
      <c r="E6" s="105"/>
    </row>
    <row r="7" spans="1:5" x14ac:dyDescent="0.25">
      <c r="A7" s="77" t="s">
        <v>652</v>
      </c>
      <c r="B7" s="78">
        <f>INSUMOS!B300</f>
        <v>30000</v>
      </c>
      <c r="C7" s="98">
        <v>1</v>
      </c>
      <c r="D7" s="75">
        <f>C7*B7</f>
        <v>30000</v>
      </c>
      <c r="E7" s="105"/>
    </row>
    <row r="8" spans="1:5" x14ac:dyDescent="0.25">
      <c r="A8" s="82"/>
      <c r="B8" s="83"/>
      <c r="C8" s="83" t="s">
        <v>122</v>
      </c>
      <c r="D8" s="83">
        <f>SUM(D3:D7)</f>
        <v>391250</v>
      </c>
      <c r="E8" s="100">
        <f>SUM(E3:E7)</f>
        <v>2.3124581274339331</v>
      </c>
    </row>
    <row r="11" spans="1:5" x14ac:dyDescent="0.25">
      <c r="A11" s="279" t="s">
        <v>653</v>
      </c>
      <c r="B11" s="279"/>
      <c r="C11" s="279"/>
      <c r="D11" s="279"/>
      <c r="E11" s="279"/>
    </row>
    <row r="12" spans="1:5" x14ac:dyDescent="0.25">
      <c r="A12" s="72" t="s">
        <v>92</v>
      </c>
      <c r="B12" s="72" t="s">
        <v>226</v>
      </c>
      <c r="C12" s="72" t="s">
        <v>227</v>
      </c>
      <c r="D12" s="72" t="s">
        <v>228</v>
      </c>
      <c r="E12" s="73" t="s">
        <v>229</v>
      </c>
    </row>
    <row r="13" spans="1:5" x14ac:dyDescent="0.25">
      <c r="A13" s="74" t="s">
        <v>654</v>
      </c>
      <c r="B13" s="75">
        <f>INSUMOS!B130</f>
        <v>130000</v>
      </c>
      <c r="C13" s="103">
        <v>1</v>
      </c>
      <c r="D13" s="75">
        <f>C13*B13</f>
        <v>130000</v>
      </c>
      <c r="E13" s="102">
        <f>INSUMOS!E130</f>
        <v>2.91</v>
      </c>
    </row>
    <row r="14" spans="1:5" x14ac:dyDescent="0.25">
      <c r="A14" s="77" t="s">
        <v>649</v>
      </c>
      <c r="B14" s="78">
        <f>INSUMOS!B4</f>
        <v>87000</v>
      </c>
      <c r="C14" s="98">
        <v>0.15</v>
      </c>
      <c r="D14" s="75">
        <f>C14*B14</f>
        <v>13050</v>
      </c>
      <c r="E14" s="97">
        <f>0.15*INSUMOS!E4</f>
        <v>1.3424581274339329</v>
      </c>
    </row>
    <row r="15" spans="1:5" x14ac:dyDescent="0.25">
      <c r="A15" s="77" t="s">
        <v>650</v>
      </c>
      <c r="B15" s="78">
        <f>INSUMOS!B296</f>
        <v>178200</v>
      </c>
      <c r="C15" s="98">
        <v>1</v>
      </c>
      <c r="D15" s="75">
        <f>C15*B15</f>
        <v>178200</v>
      </c>
      <c r="E15" s="105" t="s">
        <v>232</v>
      </c>
    </row>
    <row r="16" spans="1:5" x14ac:dyDescent="0.25">
      <c r="A16" s="77" t="s">
        <v>655</v>
      </c>
      <c r="B16" s="78">
        <f>INSUMOS!B288</f>
        <v>80000</v>
      </c>
      <c r="C16" s="98">
        <v>1</v>
      </c>
      <c r="D16" s="75">
        <f>C16*B16</f>
        <v>80000</v>
      </c>
      <c r="E16" s="105"/>
    </row>
    <row r="17" spans="1:5" x14ac:dyDescent="0.25">
      <c r="A17" s="77" t="s">
        <v>656</v>
      </c>
      <c r="B17" s="78">
        <f>INSUMOS!B302</f>
        <v>40000</v>
      </c>
      <c r="C17" s="98">
        <v>1</v>
      </c>
      <c r="D17" s="75">
        <f>C17*B17</f>
        <v>40000</v>
      </c>
      <c r="E17" s="105"/>
    </row>
    <row r="18" spans="1:5" x14ac:dyDescent="0.25">
      <c r="A18" s="82"/>
      <c r="B18" s="83"/>
      <c r="C18" s="83" t="s">
        <v>122</v>
      </c>
      <c r="D18" s="83">
        <f>SUM(D13:D17)</f>
        <v>441250</v>
      </c>
      <c r="E18" s="100">
        <f>SUM(E13:E17)</f>
        <v>4.2524581274339326</v>
      </c>
    </row>
    <row r="21" spans="1:5" x14ac:dyDescent="0.25">
      <c r="A21" s="279" t="s">
        <v>657</v>
      </c>
      <c r="B21" s="279"/>
      <c r="C21" s="279"/>
      <c r="D21" s="279"/>
      <c r="E21" s="279"/>
    </row>
    <row r="22" spans="1:5" x14ac:dyDescent="0.25">
      <c r="A22" s="72" t="s">
        <v>92</v>
      </c>
      <c r="B22" s="72" t="s">
        <v>226</v>
      </c>
      <c r="C22" s="72" t="s">
        <v>227</v>
      </c>
      <c r="D22" s="72" t="s">
        <v>228</v>
      </c>
      <c r="E22" s="73" t="s">
        <v>229</v>
      </c>
    </row>
    <row r="23" spans="1:5" x14ac:dyDescent="0.25">
      <c r="A23" s="74" t="s">
        <v>654</v>
      </c>
      <c r="B23" s="75">
        <f>INSUMOS!B130</f>
        <v>130000</v>
      </c>
      <c r="C23" s="103">
        <v>1</v>
      </c>
      <c r="D23" s="75">
        <f>C23*B23</f>
        <v>130000</v>
      </c>
      <c r="E23" s="102">
        <f>INSUMOS!E130</f>
        <v>2.91</v>
      </c>
    </row>
    <row r="24" spans="1:5" x14ac:dyDescent="0.25">
      <c r="A24" s="77" t="s">
        <v>658</v>
      </c>
      <c r="B24" s="78">
        <f>INSUMOS!B5</f>
        <v>154000</v>
      </c>
      <c r="C24" s="98">
        <v>0.15</v>
      </c>
      <c r="D24" s="75">
        <f>C24*B24</f>
        <v>23100</v>
      </c>
      <c r="E24" s="97">
        <f>0.15*INSUMOS!E5</f>
        <v>2.3865922265492139</v>
      </c>
    </row>
    <row r="25" spans="1:5" x14ac:dyDescent="0.25">
      <c r="A25" s="77" t="s">
        <v>659</v>
      </c>
      <c r="B25" s="78">
        <f>INSUMOS!B297</f>
        <v>200000</v>
      </c>
      <c r="C25" s="98">
        <v>1</v>
      </c>
      <c r="D25" s="75">
        <f>C25*B25</f>
        <v>200000</v>
      </c>
      <c r="E25" s="105" t="s">
        <v>232</v>
      </c>
    </row>
    <row r="26" spans="1:5" x14ac:dyDescent="0.25">
      <c r="A26" s="77" t="s">
        <v>655</v>
      </c>
      <c r="B26" s="78">
        <f>INSUMOS!B288</f>
        <v>80000</v>
      </c>
      <c r="C26" s="98">
        <v>1</v>
      </c>
      <c r="D26" s="75">
        <f>C26*B26</f>
        <v>80000</v>
      </c>
      <c r="E26" s="105"/>
    </row>
    <row r="27" spans="1:5" x14ac:dyDescent="0.25">
      <c r="A27" s="77" t="s">
        <v>656</v>
      </c>
      <c r="B27" s="78">
        <f>INSUMOS!B302</f>
        <v>40000</v>
      </c>
      <c r="C27" s="98">
        <v>1</v>
      </c>
      <c r="D27" s="75">
        <f>C27*B27</f>
        <v>40000</v>
      </c>
      <c r="E27" s="105"/>
    </row>
    <row r="28" spans="1:5" x14ac:dyDescent="0.25">
      <c r="A28" s="82"/>
      <c r="B28" s="83"/>
      <c r="C28" s="83" t="s">
        <v>122</v>
      </c>
      <c r="D28" s="83">
        <f>SUM(D23:D27)</f>
        <v>473100</v>
      </c>
      <c r="E28" s="100">
        <f>SUM(E23:E27)</f>
        <v>5.2965922265492136</v>
      </c>
    </row>
    <row r="31" spans="1:5" x14ac:dyDescent="0.25">
      <c r="A31" s="279" t="s">
        <v>660</v>
      </c>
      <c r="B31" s="279"/>
      <c r="C31" s="279"/>
      <c r="D31" s="279"/>
      <c r="E31" s="279"/>
    </row>
    <row r="32" spans="1:5" x14ac:dyDescent="0.25">
      <c r="A32" s="72" t="s">
        <v>92</v>
      </c>
      <c r="B32" s="72" t="s">
        <v>226</v>
      </c>
      <c r="C32" s="72" t="s">
        <v>227</v>
      </c>
      <c r="D32" s="72" t="s">
        <v>228</v>
      </c>
      <c r="E32" s="73" t="s">
        <v>229</v>
      </c>
    </row>
    <row r="33" spans="1:5" x14ac:dyDescent="0.25">
      <c r="A33" s="74" t="s">
        <v>661</v>
      </c>
      <c r="B33" s="75">
        <f>INSUMOS!B132</f>
        <v>170000</v>
      </c>
      <c r="C33" s="103">
        <v>1</v>
      </c>
      <c r="D33" s="75">
        <f>C33*B33</f>
        <v>170000</v>
      </c>
      <c r="E33" s="102">
        <f>INSUMOS!E132</f>
        <v>4.08</v>
      </c>
    </row>
    <row r="34" spans="1:5" x14ac:dyDescent="0.25">
      <c r="A34" s="77" t="s">
        <v>658</v>
      </c>
      <c r="B34" s="78">
        <f>0.15*INSUMOS!B5</f>
        <v>23100</v>
      </c>
      <c r="C34" s="98">
        <v>0.15</v>
      </c>
      <c r="D34" s="75">
        <f>C34*B34</f>
        <v>3465</v>
      </c>
      <c r="E34" s="97">
        <f>0.15*INSUMOS!E5</f>
        <v>2.3865922265492139</v>
      </c>
    </row>
    <row r="35" spans="1:5" x14ac:dyDescent="0.25">
      <c r="A35" s="77" t="s">
        <v>659</v>
      </c>
      <c r="B35" s="78">
        <f>INSUMOS!B297</f>
        <v>200000</v>
      </c>
      <c r="C35" s="98">
        <v>1</v>
      </c>
      <c r="D35" s="75">
        <f>C35*B35</f>
        <v>200000</v>
      </c>
      <c r="E35" s="105" t="s">
        <v>232</v>
      </c>
    </row>
    <row r="36" spans="1:5" x14ac:dyDescent="0.25">
      <c r="A36" s="77" t="s">
        <v>662</v>
      </c>
      <c r="B36" s="78">
        <f>INSUMOS!B290</f>
        <v>130000</v>
      </c>
      <c r="C36" s="98">
        <v>1</v>
      </c>
      <c r="D36" s="75">
        <f>C36*B36</f>
        <v>130000</v>
      </c>
      <c r="E36" s="105"/>
    </row>
    <row r="37" spans="1:5" x14ac:dyDescent="0.25">
      <c r="A37" s="77" t="s">
        <v>663</v>
      </c>
      <c r="B37" s="78">
        <f>INSUMOS!B304</f>
        <v>60000</v>
      </c>
      <c r="C37" s="98">
        <v>1</v>
      </c>
      <c r="D37" s="75">
        <f>C37*B37</f>
        <v>60000</v>
      </c>
      <c r="E37" s="105"/>
    </row>
    <row r="38" spans="1:5" x14ac:dyDescent="0.25">
      <c r="A38" s="82"/>
      <c r="B38" s="83"/>
      <c r="C38" s="83" t="s">
        <v>122</v>
      </c>
      <c r="D38" s="83">
        <f>SUM(D33:D37)</f>
        <v>563465</v>
      </c>
      <c r="E38" s="100">
        <f>SUM(E33:E37)</f>
        <v>6.4665922265492135</v>
      </c>
    </row>
    <row r="41" spans="1:5" x14ac:dyDescent="0.25">
      <c r="A41" s="279" t="s">
        <v>664</v>
      </c>
      <c r="B41" s="279"/>
      <c r="C41" s="279"/>
      <c r="D41" s="279"/>
      <c r="E41" s="279"/>
    </row>
    <row r="42" spans="1:5" x14ac:dyDescent="0.25">
      <c r="A42" s="72" t="s">
        <v>92</v>
      </c>
      <c r="B42" s="72" t="s">
        <v>226</v>
      </c>
      <c r="C42" s="72" t="s">
        <v>227</v>
      </c>
      <c r="D42" s="72" t="s">
        <v>228</v>
      </c>
      <c r="E42" s="73" t="s">
        <v>229</v>
      </c>
    </row>
    <row r="43" spans="1:5" x14ac:dyDescent="0.25">
      <c r="A43" s="74" t="s">
        <v>648</v>
      </c>
      <c r="B43" s="75">
        <f>INSUMOS!B128</f>
        <v>120000</v>
      </c>
      <c r="C43" s="103">
        <v>1</v>
      </c>
      <c r="D43" s="75">
        <f>C43*B43</f>
        <v>120000</v>
      </c>
      <c r="E43" s="102">
        <f>INSUMOS!E128</f>
        <v>0.97</v>
      </c>
    </row>
    <row r="44" spans="1:5" x14ac:dyDescent="0.25">
      <c r="A44" s="77" t="s">
        <v>658</v>
      </c>
      <c r="B44" s="78">
        <f>INSUMOS!B5</f>
        <v>154000</v>
      </c>
      <c r="C44" s="98">
        <v>0.15</v>
      </c>
      <c r="D44" s="75">
        <f>C44*B44</f>
        <v>23100</v>
      </c>
      <c r="E44" s="97">
        <f>0.15*INSUMOS!E5</f>
        <v>2.3865922265492139</v>
      </c>
    </row>
    <row r="45" spans="1:5" x14ac:dyDescent="0.25">
      <c r="A45" s="77" t="s">
        <v>659</v>
      </c>
      <c r="B45" s="78">
        <f>INSUMOS!B297</f>
        <v>200000</v>
      </c>
      <c r="C45" s="98">
        <v>1</v>
      </c>
      <c r="D45" s="75">
        <f>C45*B45</f>
        <v>200000</v>
      </c>
      <c r="E45" s="105" t="s">
        <v>232</v>
      </c>
    </row>
    <row r="46" spans="1:5" x14ac:dyDescent="0.25">
      <c r="A46" s="77" t="s">
        <v>651</v>
      </c>
      <c r="B46" s="78">
        <f>INSUMOS!B286</f>
        <v>50000</v>
      </c>
      <c r="C46" s="98">
        <v>1</v>
      </c>
      <c r="D46" s="75">
        <f>C46*B46</f>
        <v>50000</v>
      </c>
      <c r="E46" s="105"/>
    </row>
    <row r="47" spans="1:5" x14ac:dyDescent="0.25">
      <c r="A47" s="77" t="s">
        <v>652</v>
      </c>
      <c r="B47" s="78">
        <f>INSUMOS!B300</f>
        <v>30000</v>
      </c>
      <c r="C47" s="98">
        <v>1</v>
      </c>
      <c r="D47" s="75">
        <f>C47*B47</f>
        <v>30000</v>
      </c>
      <c r="E47" s="105"/>
    </row>
    <row r="48" spans="1:5" x14ac:dyDescent="0.25">
      <c r="A48" s="82"/>
      <c r="B48" s="83"/>
      <c r="C48" s="83" t="s">
        <v>122</v>
      </c>
      <c r="D48" s="83">
        <f>SUM(D43:D47)</f>
        <v>423100</v>
      </c>
      <c r="E48" s="100">
        <f>SUM(E43:E47)</f>
        <v>3.3565922265492141</v>
      </c>
    </row>
    <row r="51" spans="1:5" x14ac:dyDescent="0.25">
      <c r="A51" s="279" t="s">
        <v>665</v>
      </c>
      <c r="B51" s="279"/>
      <c r="C51" s="279"/>
      <c r="D51" s="279"/>
      <c r="E51" s="279"/>
    </row>
    <row r="52" spans="1:5" x14ac:dyDescent="0.25">
      <c r="A52" s="72" t="s">
        <v>92</v>
      </c>
      <c r="B52" s="72" t="s">
        <v>226</v>
      </c>
      <c r="C52" s="72" t="s">
        <v>227</v>
      </c>
      <c r="D52" s="72" t="s">
        <v>228</v>
      </c>
      <c r="E52" s="73" t="s">
        <v>229</v>
      </c>
    </row>
    <row r="53" spans="1:5" x14ac:dyDescent="0.25">
      <c r="A53" s="74" t="s">
        <v>666</v>
      </c>
      <c r="B53" s="75">
        <f>INSUMOS!B127</f>
        <v>110000</v>
      </c>
      <c r="C53" s="103">
        <v>1</v>
      </c>
      <c r="D53" s="75">
        <f>C53*B53</f>
        <v>110000</v>
      </c>
      <c r="E53" s="102">
        <f>INSUMOS!E127</f>
        <v>0.9</v>
      </c>
    </row>
    <row r="54" spans="1:5" x14ac:dyDescent="0.25">
      <c r="A54" s="77" t="s">
        <v>649</v>
      </c>
      <c r="B54" s="78">
        <f>INSUMOS!B4</f>
        <v>87000</v>
      </c>
      <c r="C54" s="98">
        <v>0.15</v>
      </c>
      <c r="D54" s="75">
        <f>C54*B54</f>
        <v>13050</v>
      </c>
      <c r="E54" s="97">
        <f>0.15*INSUMOS!E4</f>
        <v>1.3424581274339329</v>
      </c>
    </row>
    <row r="55" spans="1:5" x14ac:dyDescent="0.25">
      <c r="A55" s="77" t="s">
        <v>650</v>
      </c>
      <c r="B55" s="78">
        <f>INSUMOS!B296</f>
        <v>178200</v>
      </c>
      <c r="C55" s="98">
        <v>1</v>
      </c>
      <c r="D55" s="75">
        <f>C55*B55</f>
        <v>178200</v>
      </c>
      <c r="E55" s="105" t="s">
        <v>232</v>
      </c>
    </row>
    <row r="56" spans="1:5" x14ac:dyDescent="0.25">
      <c r="A56" s="77" t="s">
        <v>667</v>
      </c>
      <c r="B56" s="78">
        <f>INSUMOS!B285</f>
        <v>50000</v>
      </c>
      <c r="C56" s="98">
        <v>1</v>
      </c>
      <c r="D56" s="75">
        <f>C56*B56</f>
        <v>50000</v>
      </c>
      <c r="E56" s="105"/>
    </row>
    <row r="57" spans="1:5" x14ac:dyDescent="0.25">
      <c r="A57" s="77" t="s">
        <v>668</v>
      </c>
      <c r="B57" s="78">
        <f>INSUMOS!B299</f>
        <v>30000</v>
      </c>
      <c r="C57" s="98">
        <v>1</v>
      </c>
      <c r="D57" s="75">
        <f>C57*B57</f>
        <v>30000</v>
      </c>
      <c r="E57" s="105"/>
    </row>
    <row r="58" spans="1:5" x14ac:dyDescent="0.25">
      <c r="A58" s="82"/>
      <c r="B58" s="83"/>
      <c r="C58" s="83" t="s">
        <v>122</v>
      </c>
      <c r="D58" s="83">
        <f>SUM(D53:D57)</f>
        <v>381250</v>
      </c>
      <c r="E58" s="100">
        <f>SUM(E53:E57)</f>
        <v>2.2424581274339328</v>
      </c>
    </row>
    <row r="61" spans="1:5" x14ac:dyDescent="0.25">
      <c r="A61" s="279" t="s">
        <v>669</v>
      </c>
      <c r="B61" s="279"/>
      <c r="C61" s="279"/>
      <c r="D61" s="279"/>
      <c r="E61" s="279"/>
    </row>
    <row r="62" spans="1:5" x14ac:dyDescent="0.25">
      <c r="A62" s="72" t="s">
        <v>92</v>
      </c>
      <c r="B62" s="72" t="s">
        <v>226</v>
      </c>
      <c r="C62" s="72" t="s">
        <v>227</v>
      </c>
      <c r="D62" s="72" t="s">
        <v>228</v>
      </c>
      <c r="E62" s="73" t="s">
        <v>229</v>
      </c>
    </row>
    <row r="63" spans="1:5" x14ac:dyDescent="0.25">
      <c r="A63" s="74" t="s">
        <v>670</v>
      </c>
      <c r="B63" s="75">
        <f>INSUMOS!B139</f>
        <v>195000</v>
      </c>
      <c r="C63" s="103">
        <v>1</v>
      </c>
      <c r="D63" s="75">
        <f>C63*B63</f>
        <v>195000</v>
      </c>
      <c r="E63" s="102">
        <f>INSUMOS!E139</f>
        <v>4</v>
      </c>
    </row>
    <row r="64" spans="1:5" x14ac:dyDescent="0.25">
      <c r="A64" s="77" t="s">
        <v>671</v>
      </c>
      <c r="B64" s="78">
        <f>INSUMOS!B16</f>
        <v>240000</v>
      </c>
      <c r="C64" s="98">
        <v>0.15</v>
      </c>
      <c r="D64" s="75">
        <f>C64*B64</f>
        <v>36000</v>
      </c>
      <c r="E64" s="97">
        <f>0.15*INSUMOS!E16</f>
        <v>2.3865922265492139</v>
      </c>
    </row>
    <row r="65" spans="1:5" x14ac:dyDescent="0.25">
      <c r="A65" s="77" t="s">
        <v>659</v>
      </c>
      <c r="B65" s="78">
        <f>INSUMOS!B297</f>
        <v>200000</v>
      </c>
      <c r="C65" s="98">
        <v>1</v>
      </c>
      <c r="D65" s="75">
        <f>C65*B65</f>
        <v>200000</v>
      </c>
      <c r="E65" s="112"/>
    </row>
    <row r="66" spans="1:5" x14ac:dyDescent="0.25">
      <c r="A66" s="77" t="s">
        <v>672</v>
      </c>
      <c r="B66" s="78">
        <f>INSUMOS!B289</f>
        <v>100000</v>
      </c>
      <c r="C66" s="98">
        <v>1</v>
      </c>
      <c r="D66" s="75">
        <f>C66*B66</f>
        <v>100000</v>
      </c>
      <c r="E66" s="105"/>
    </row>
    <row r="67" spans="1:5" x14ac:dyDescent="0.25">
      <c r="A67" s="77" t="s">
        <v>673</v>
      </c>
      <c r="B67" s="78">
        <f>INSUMOS!B303</f>
        <v>50000</v>
      </c>
      <c r="C67" s="98">
        <v>1</v>
      </c>
      <c r="D67" s="75">
        <f>C67*B67</f>
        <v>50000</v>
      </c>
      <c r="E67" s="105"/>
    </row>
    <row r="68" spans="1:5" x14ac:dyDescent="0.25">
      <c r="A68" s="82"/>
      <c r="B68" s="83"/>
      <c r="C68" s="83" t="s">
        <v>122</v>
      </c>
      <c r="D68" s="83">
        <f>SUM(D63:D67)</f>
        <v>581000</v>
      </c>
      <c r="E68" s="100">
        <f>SUM(E63:E67)</f>
        <v>6.3865922265492134</v>
      </c>
    </row>
    <row r="71" spans="1:5" x14ac:dyDescent="0.25">
      <c r="A71" s="279" t="s">
        <v>674</v>
      </c>
      <c r="B71" s="279"/>
      <c r="C71" s="279"/>
      <c r="D71" s="279"/>
      <c r="E71" s="279"/>
    </row>
    <row r="72" spans="1:5" x14ac:dyDescent="0.25">
      <c r="A72" s="72" t="s">
        <v>92</v>
      </c>
      <c r="B72" s="72" t="s">
        <v>226</v>
      </c>
      <c r="C72" s="72" t="s">
        <v>227</v>
      </c>
      <c r="D72" s="72" t="s">
        <v>228</v>
      </c>
      <c r="E72" s="73" t="s">
        <v>229</v>
      </c>
    </row>
    <row r="73" spans="1:5" x14ac:dyDescent="0.25">
      <c r="A73" s="74" t="s">
        <v>675</v>
      </c>
      <c r="B73" s="75">
        <f>INSUMOS!B149</f>
        <v>150000</v>
      </c>
      <c r="C73" s="103">
        <v>1</v>
      </c>
      <c r="D73" s="75">
        <f>C73*B73</f>
        <v>150000</v>
      </c>
      <c r="E73" s="102">
        <f>INSUMOS!E149</f>
        <v>4.8</v>
      </c>
    </row>
    <row r="74" spans="1:5" x14ac:dyDescent="0.25">
      <c r="A74" s="77" t="s">
        <v>658</v>
      </c>
      <c r="B74" s="78">
        <f>INSUMOS!B5</f>
        <v>154000</v>
      </c>
      <c r="C74" s="98">
        <v>0.15</v>
      </c>
      <c r="D74" s="75">
        <f>C74*B74</f>
        <v>23100</v>
      </c>
      <c r="E74" s="97">
        <f>0.15*INSUMOS!E5</f>
        <v>2.3865922265492139</v>
      </c>
    </row>
    <row r="75" spans="1:5" x14ac:dyDescent="0.25">
      <c r="A75" s="77" t="s">
        <v>659</v>
      </c>
      <c r="B75" s="78">
        <f>INSUMOS!B297</f>
        <v>200000</v>
      </c>
      <c r="C75" s="98">
        <v>1</v>
      </c>
      <c r="D75" s="75">
        <f>C75*B75</f>
        <v>200000</v>
      </c>
      <c r="E75" s="105"/>
    </row>
    <row r="76" spans="1:5" x14ac:dyDescent="0.25">
      <c r="A76" s="77" t="s">
        <v>676</v>
      </c>
      <c r="B76" s="78">
        <f>INSUMOS!B350</f>
        <v>150000</v>
      </c>
      <c r="C76" s="98">
        <v>1</v>
      </c>
      <c r="D76" s="75">
        <f>C76*B76</f>
        <v>150000</v>
      </c>
      <c r="E76" s="105"/>
    </row>
    <row r="77" spans="1:5" x14ac:dyDescent="0.25">
      <c r="A77" s="77" t="s">
        <v>677</v>
      </c>
      <c r="B77" s="78">
        <f>INSUMOS!B313</f>
        <v>50000</v>
      </c>
      <c r="C77" s="98">
        <v>1</v>
      </c>
      <c r="D77" s="75">
        <f>C77*B77</f>
        <v>50000</v>
      </c>
      <c r="E77" s="105"/>
    </row>
    <row r="78" spans="1:5" x14ac:dyDescent="0.25">
      <c r="A78" s="82"/>
      <c r="B78" s="83"/>
      <c r="C78" s="83" t="s">
        <v>122</v>
      </c>
      <c r="D78" s="83">
        <f>SUM(D73:D77)</f>
        <v>573100</v>
      </c>
      <c r="E78" s="100">
        <f>SUM(E73:E77)</f>
        <v>7.1865922265492141</v>
      </c>
    </row>
    <row r="81" spans="1:5" x14ac:dyDescent="0.25">
      <c r="A81" s="279" t="s">
        <v>678</v>
      </c>
      <c r="B81" s="279"/>
      <c r="C81" s="279"/>
      <c r="D81" s="279"/>
      <c r="E81" s="279"/>
    </row>
    <row r="82" spans="1:5" x14ac:dyDescent="0.25">
      <c r="A82" s="72" t="s">
        <v>92</v>
      </c>
      <c r="B82" s="72" t="s">
        <v>226</v>
      </c>
      <c r="C82" s="72" t="s">
        <v>227</v>
      </c>
      <c r="D82" s="72" t="s">
        <v>228</v>
      </c>
      <c r="E82" s="73" t="s">
        <v>229</v>
      </c>
    </row>
    <row r="83" spans="1:5" x14ac:dyDescent="0.25">
      <c r="A83" s="74" t="s">
        <v>679</v>
      </c>
      <c r="B83" s="75">
        <f>INSUMOS!B163</f>
        <v>210000</v>
      </c>
      <c r="C83" s="103">
        <v>1</v>
      </c>
      <c r="D83" s="75">
        <f>C83*B83</f>
        <v>210000</v>
      </c>
      <c r="E83" s="102">
        <f>INSUMOS!E163</f>
        <v>4.8</v>
      </c>
    </row>
    <row r="84" spans="1:5" x14ac:dyDescent="0.25">
      <c r="A84" s="77" t="s">
        <v>671</v>
      </c>
      <c r="B84" s="78">
        <f>INSUMOS!B16</f>
        <v>240000</v>
      </c>
      <c r="C84" s="98">
        <v>0.15</v>
      </c>
      <c r="D84" s="75">
        <f>C84*B84</f>
        <v>36000</v>
      </c>
      <c r="E84" s="97">
        <f>0.15*INSUMOS!E16</f>
        <v>2.3865922265492139</v>
      </c>
    </row>
    <row r="85" spans="1:5" x14ac:dyDescent="0.25">
      <c r="A85" s="77" t="s">
        <v>659</v>
      </c>
      <c r="B85" s="78">
        <f>INSUMOS!B297</f>
        <v>200000</v>
      </c>
      <c r="C85" s="98">
        <v>1</v>
      </c>
      <c r="D85" s="75">
        <f>C85*B85</f>
        <v>200000</v>
      </c>
      <c r="E85" s="112"/>
    </row>
    <row r="86" spans="1:5" x14ac:dyDescent="0.25">
      <c r="A86" s="77" t="s">
        <v>676</v>
      </c>
      <c r="B86" s="78">
        <f>INSUMOS!B350</f>
        <v>150000</v>
      </c>
      <c r="C86" s="98">
        <v>1</v>
      </c>
      <c r="D86" s="75">
        <f>C86*B86</f>
        <v>150000</v>
      </c>
      <c r="E86" s="105"/>
    </row>
    <row r="87" spans="1:5" x14ac:dyDescent="0.25">
      <c r="A87" s="77" t="s">
        <v>677</v>
      </c>
      <c r="B87" s="78">
        <f>INSUMOS!B313</f>
        <v>50000</v>
      </c>
      <c r="C87" s="98">
        <v>1</v>
      </c>
      <c r="D87" s="75">
        <f>C87*B87</f>
        <v>50000</v>
      </c>
      <c r="E87" s="105"/>
    </row>
    <row r="88" spans="1:5" x14ac:dyDescent="0.25">
      <c r="A88" s="82"/>
      <c r="B88" s="83"/>
      <c r="C88" s="83" t="s">
        <v>122</v>
      </c>
      <c r="D88" s="83">
        <f>SUM(D83:D87)</f>
        <v>646000</v>
      </c>
      <c r="E88" s="100">
        <f>SUM(E83:E87)</f>
        <v>7.1865922265492141</v>
      </c>
    </row>
    <row r="91" spans="1:5" x14ac:dyDescent="0.25">
      <c r="A91" s="279" t="s">
        <v>680</v>
      </c>
      <c r="B91" s="279"/>
      <c r="C91" s="279"/>
      <c r="D91" s="279"/>
      <c r="E91" s="279"/>
    </row>
    <row r="92" spans="1:5" x14ac:dyDescent="0.25">
      <c r="A92" s="72" t="s">
        <v>92</v>
      </c>
      <c r="B92" s="72" t="s">
        <v>226</v>
      </c>
      <c r="C92" s="72" t="s">
        <v>227</v>
      </c>
      <c r="D92" s="72" t="s">
        <v>228</v>
      </c>
      <c r="E92" s="73" t="s">
        <v>229</v>
      </c>
    </row>
    <row r="93" spans="1:5" x14ac:dyDescent="0.25">
      <c r="A93" s="74" t="s">
        <v>681</v>
      </c>
      <c r="B93" s="75">
        <f>INSUMOS!B147</f>
        <v>105000</v>
      </c>
      <c r="C93" s="103">
        <v>1</v>
      </c>
      <c r="D93" s="75">
        <f>C93*B93</f>
        <v>105000</v>
      </c>
      <c r="E93" s="102">
        <f>INSUMOS!E147</f>
        <v>1.6</v>
      </c>
    </row>
    <row r="94" spans="1:5" x14ac:dyDescent="0.25">
      <c r="A94" s="77" t="s">
        <v>658</v>
      </c>
      <c r="B94" s="78">
        <f>INSUMOS!B5</f>
        <v>154000</v>
      </c>
      <c r="C94" s="98">
        <v>0.15</v>
      </c>
      <c r="D94" s="75">
        <f>C94*B94</f>
        <v>23100</v>
      </c>
      <c r="E94" s="97">
        <f>0.15*INSUMOS!E5</f>
        <v>2.3865922265492139</v>
      </c>
    </row>
    <row r="95" spans="1:5" x14ac:dyDescent="0.25">
      <c r="A95" s="77" t="s">
        <v>659</v>
      </c>
      <c r="B95" s="78">
        <f>INSUMOS!B297</f>
        <v>200000</v>
      </c>
      <c r="C95" s="98">
        <v>1</v>
      </c>
      <c r="D95" s="75">
        <f>C95*B95</f>
        <v>200000</v>
      </c>
      <c r="E95" s="105" t="s">
        <v>232</v>
      </c>
    </row>
    <row r="96" spans="1:5" x14ac:dyDescent="0.25">
      <c r="A96" s="77" t="s">
        <v>682</v>
      </c>
      <c r="B96" s="78">
        <f>INSUMOS!B348</f>
        <v>120000</v>
      </c>
      <c r="C96" s="98">
        <v>1</v>
      </c>
      <c r="D96" s="75">
        <f>C96*B96</f>
        <v>120000</v>
      </c>
      <c r="E96" s="105"/>
    </row>
    <row r="97" spans="1:5" x14ac:dyDescent="0.25">
      <c r="A97" s="77" t="s">
        <v>683</v>
      </c>
      <c r="B97" s="78">
        <f>INSUMOS!B311</f>
        <v>35000</v>
      </c>
      <c r="C97" s="98">
        <v>1</v>
      </c>
      <c r="D97" s="75">
        <f>C97*B97</f>
        <v>35000</v>
      </c>
      <c r="E97" s="105"/>
    </row>
    <row r="98" spans="1:5" x14ac:dyDescent="0.25">
      <c r="A98" s="82"/>
      <c r="B98" s="83"/>
      <c r="C98" s="83" t="s">
        <v>122</v>
      </c>
      <c r="D98" s="83">
        <f>SUM(D93:D97)</f>
        <v>483100</v>
      </c>
      <c r="E98" s="100">
        <f>SUM(E93:E97)</f>
        <v>3.986592226549214</v>
      </c>
    </row>
    <row r="101" spans="1:5" x14ac:dyDescent="0.25">
      <c r="A101" s="279" t="s">
        <v>684</v>
      </c>
      <c r="B101" s="279"/>
      <c r="C101" s="279"/>
      <c r="D101" s="279"/>
      <c r="E101" s="279"/>
    </row>
    <row r="102" spans="1:5" x14ac:dyDescent="0.25">
      <c r="A102" s="72" t="s">
        <v>92</v>
      </c>
      <c r="B102" s="72" t="s">
        <v>226</v>
      </c>
      <c r="C102" s="72" t="s">
        <v>227</v>
      </c>
      <c r="D102" s="72" t="s">
        <v>228</v>
      </c>
      <c r="E102" s="73" t="s">
        <v>229</v>
      </c>
    </row>
    <row r="103" spans="1:5" x14ac:dyDescent="0.25">
      <c r="A103" s="74" t="s">
        <v>685</v>
      </c>
      <c r="B103" s="75">
        <f>INSUMOS!B154</f>
        <v>850000</v>
      </c>
      <c r="C103" s="103">
        <v>1</v>
      </c>
      <c r="D103" s="75">
        <f>C103*B103</f>
        <v>850000</v>
      </c>
      <c r="E103" s="102">
        <f>INSUMOS!E154</f>
        <v>28.5</v>
      </c>
    </row>
    <row r="104" spans="1:5" x14ac:dyDescent="0.25">
      <c r="A104" s="77" t="s">
        <v>686</v>
      </c>
      <c r="B104" s="78">
        <f>INSUMOS!B210</f>
        <v>325000</v>
      </c>
      <c r="C104" s="98">
        <v>1</v>
      </c>
      <c r="D104" s="75">
        <f>C104*B104</f>
        <v>325000</v>
      </c>
      <c r="E104" s="97">
        <f>INSUMOS!E210</f>
        <v>8</v>
      </c>
    </row>
    <row r="105" spans="1:5" x14ac:dyDescent="0.25">
      <c r="A105" s="77" t="s">
        <v>687</v>
      </c>
      <c r="B105" s="78">
        <f>INSUMOS!B355</f>
        <v>600000</v>
      </c>
      <c r="C105" s="98">
        <v>1</v>
      </c>
      <c r="D105" s="75">
        <f>C105*B105</f>
        <v>600000</v>
      </c>
      <c r="E105" s="105" t="s">
        <v>232</v>
      </c>
    </row>
    <row r="106" spans="1:5" x14ac:dyDescent="0.25">
      <c r="A106" s="77" t="s">
        <v>688</v>
      </c>
      <c r="B106" s="78">
        <f>INSUMOS!B374</f>
        <v>260000</v>
      </c>
      <c r="C106" s="98">
        <v>1</v>
      </c>
      <c r="D106" s="75">
        <f>C106*B106</f>
        <v>260000</v>
      </c>
      <c r="E106" s="105"/>
    </row>
    <row r="107" spans="1:5" x14ac:dyDescent="0.25">
      <c r="A107" s="77" t="s">
        <v>689</v>
      </c>
      <c r="B107" s="78">
        <f>INSUMOS!B318</f>
        <v>120000</v>
      </c>
      <c r="C107" s="98">
        <v>1</v>
      </c>
      <c r="D107" s="75">
        <f>C107*B107</f>
        <v>120000</v>
      </c>
      <c r="E107" s="105"/>
    </row>
    <row r="108" spans="1:5" x14ac:dyDescent="0.25">
      <c r="A108" s="82"/>
      <c r="B108" s="83"/>
      <c r="C108" s="83" t="s">
        <v>122</v>
      </c>
      <c r="D108" s="83">
        <f>SUM(D103:D107)</f>
        <v>2155000</v>
      </c>
      <c r="E108" s="100">
        <f>SUM(E103:E107)</f>
        <v>36.5</v>
      </c>
    </row>
    <row r="111" spans="1:5" x14ac:dyDescent="0.25">
      <c r="A111" s="279" t="s">
        <v>690</v>
      </c>
      <c r="B111" s="279"/>
      <c r="C111" s="279"/>
      <c r="D111" s="279"/>
      <c r="E111" s="279"/>
    </row>
    <row r="112" spans="1:5" x14ac:dyDescent="0.25">
      <c r="A112" s="72" t="s">
        <v>92</v>
      </c>
      <c r="B112" s="72" t="s">
        <v>226</v>
      </c>
      <c r="C112" s="72" t="s">
        <v>227</v>
      </c>
      <c r="D112" s="72" t="s">
        <v>228</v>
      </c>
      <c r="E112" s="73" t="s">
        <v>229</v>
      </c>
    </row>
    <row r="113" spans="1:5" x14ac:dyDescent="0.25">
      <c r="A113" s="74" t="s">
        <v>691</v>
      </c>
      <c r="B113" s="75">
        <f>INSUMOS!B148</f>
        <v>120000</v>
      </c>
      <c r="C113" s="103">
        <v>1</v>
      </c>
      <c r="D113" s="75">
        <f>C113*B113</f>
        <v>120000</v>
      </c>
      <c r="E113" s="102">
        <f>INSUMOS!E148</f>
        <v>3.2</v>
      </c>
    </row>
    <row r="114" spans="1:5" x14ac:dyDescent="0.25">
      <c r="A114" s="77" t="s">
        <v>658</v>
      </c>
      <c r="B114" s="78">
        <f>INSUMOS!B5</f>
        <v>154000</v>
      </c>
      <c r="C114" s="98">
        <v>0.2</v>
      </c>
      <c r="D114" s="75">
        <f>C114*B114</f>
        <v>30800</v>
      </c>
      <c r="E114" s="97">
        <f>0.15*INSUMOS!E5</f>
        <v>2.3865922265492139</v>
      </c>
    </row>
    <row r="115" spans="1:5" x14ac:dyDescent="0.25">
      <c r="A115" s="77" t="s">
        <v>659</v>
      </c>
      <c r="B115" s="78">
        <f>INSUMOS!B297</f>
        <v>200000</v>
      </c>
      <c r="C115" s="98">
        <v>1</v>
      </c>
      <c r="D115" s="75">
        <f>C115*B115</f>
        <v>200000</v>
      </c>
      <c r="E115" s="105" t="s">
        <v>232</v>
      </c>
    </row>
    <row r="116" spans="1:5" x14ac:dyDescent="0.25">
      <c r="A116" s="77" t="s">
        <v>692</v>
      </c>
      <c r="B116" s="78">
        <f>INSUMOS!B349</f>
        <v>120000</v>
      </c>
      <c r="C116" s="98">
        <v>1</v>
      </c>
      <c r="D116" s="75">
        <f>C116*B116</f>
        <v>120000</v>
      </c>
      <c r="E116" s="105"/>
    </row>
    <row r="117" spans="1:5" x14ac:dyDescent="0.25">
      <c r="A117" s="77" t="s">
        <v>693</v>
      </c>
      <c r="B117" s="78">
        <f>INSUMOS!B312</f>
        <v>45000</v>
      </c>
      <c r="C117" s="98">
        <v>1</v>
      </c>
      <c r="D117" s="75">
        <f>C117*B117</f>
        <v>45000</v>
      </c>
      <c r="E117" s="105"/>
    </row>
    <row r="118" spans="1:5" x14ac:dyDescent="0.25">
      <c r="A118" s="82"/>
      <c r="B118" s="83"/>
      <c r="C118" s="83" t="s">
        <v>122</v>
      </c>
      <c r="D118" s="83">
        <f>SUM(D113:D117)</f>
        <v>515800</v>
      </c>
      <c r="E118" s="100">
        <f>SUM(E113:E117)</f>
        <v>5.5865922265492145</v>
      </c>
    </row>
    <row r="121" spans="1:5" x14ac:dyDescent="0.25">
      <c r="A121" s="279" t="s">
        <v>694</v>
      </c>
      <c r="B121" s="279"/>
      <c r="C121" s="279"/>
      <c r="D121" s="279"/>
      <c r="E121" s="279"/>
    </row>
    <row r="122" spans="1:5" x14ac:dyDescent="0.25">
      <c r="A122" s="72" t="s">
        <v>92</v>
      </c>
      <c r="B122" s="72" t="s">
        <v>226</v>
      </c>
      <c r="C122" s="72" t="s">
        <v>227</v>
      </c>
      <c r="D122" s="72" t="s">
        <v>228</v>
      </c>
      <c r="E122" s="73" t="s">
        <v>229</v>
      </c>
    </row>
    <row r="123" spans="1:5" x14ac:dyDescent="0.25">
      <c r="A123" s="74" t="s">
        <v>695</v>
      </c>
      <c r="B123" s="75">
        <f>INSUMOS!B133</f>
        <v>230000</v>
      </c>
      <c r="C123" s="103">
        <v>1</v>
      </c>
      <c r="D123" s="75">
        <f>C123*B123</f>
        <v>230000</v>
      </c>
      <c r="E123" s="102">
        <f>INSUMOS!E133</f>
        <v>16.63</v>
      </c>
    </row>
    <row r="124" spans="1:5" x14ac:dyDescent="0.25">
      <c r="A124" s="77" t="s">
        <v>696</v>
      </c>
      <c r="B124" s="78">
        <f>INSUMOS!B7</f>
        <v>461000</v>
      </c>
      <c r="C124" s="98">
        <v>0.15</v>
      </c>
      <c r="D124" s="75">
        <f>C124*B124</f>
        <v>69150</v>
      </c>
      <c r="E124" s="97">
        <f>0.15*INSUMOS!E7</f>
        <v>5.3698325097357316</v>
      </c>
    </row>
    <row r="125" spans="1:5" x14ac:dyDescent="0.25">
      <c r="A125" s="77" t="s">
        <v>697</v>
      </c>
      <c r="B125" s="78">
        <f>INSUMOS!B298</f>
        <v>250000</v>
      </c>
      <c r="C125" s="98">
        <v>1</v>
      </c>
      <c r="D125" s="75">
        <f>C125*B125</f>
        <v>250000</v>
      </c>
      <c r="E125" s="105" t="s">
        <v>232</v>
      </c>
    </row>
    <row r="126" spans="1:5" x14ac:dyDescent="0.25">
      <c r="A126" s="77" t="s">
        <v>698</v>
      </c>
      <c r="B126" s="78">
        <f>INSUMOS!B291</f>
        <v>160000</v>
      </c>
      <c r="C126" s="98">
        <v>1</v>
      </c>
      <c r="D126" s="75">
        <f>C126*B126</f>
        <v>160000</v>
      </c>
      <c r="E126" s="105"/>
    </row>
    <row r="127" spans="1:5" x14ac:dyDescent="0.25">
      <c r="A127" s="77" t="s">
        <v>699</v>
      </c>
      <c r="B127" s="78">
        <f>INSUMOS!B305</f>
        <v>70000</v>
      </c>
      <c r="C127" s="98">
        <v>1</v>
      </c>
      <c r="D127" s="75">
        <f>C127*B127</f>
        <v>70000</v>
      </c>
      <c r="E127" s="105"/>
    </row>
    <row r="128" spans="1:5" x14ac:dyDescent="0.25">
      <c r="A128" s="82"/>
      <c r="B128" s="83"/>
      <c r="C128" s="83" t="s">
        <v>122</v>
      </c>
      <c r="D128" s="83">
        <f>SUM(D123:D127)</f>
        <v>779150</v>
      </c>
      <c r="E128" s="100">
        <f>SUM(E123:E127)</f>
        <v>21.999832509735732</v>
      </c>
    </row>
    <row r="131" spans="1:5" x14ac:dyDescent="0.25">
      <c r="A131" s="279" t="s">
        <v>700</v>
      </c>
      <c r="B131" s="279"/>
      <c r="C131" s="279"/>
      <c r="D131" s="279"/>
      <c r="E131" s="279"/>
    </row>
    <row r="132" spans="1:5" x14ac:dyDescent="0.25">
      <c r="A132" s="72" t="s">
        <v>92</v>
      </c>
      <c r="B132" s="72" t="s">
        <v>226</v>
      </c>
      <c r="C132" s="72" t="s">
        <v>227</v>
      </c>
      <c r="D132" s="72" t="s">
        <v>228</v>
      </c>
      <c r="E132" s="73" t="s">
        <v>229</v>
      </c>
    </row>
    <row r="133" spans="1:5" x14ac:dyDescent="0.25">
      <c r="A133" s="74" t="s">
        <v>701</v>
      </c>
      <c r="B133" s="75">
        <f>INSUMOS!B134</f>
        <v>260000</v>
      </c>
      <c r="C133" s="103">
        <v>1</v>
      </c>
      <c r="D133" s="75">
        <f>C133*B133</f>
        <v>260000</v>
      </c>
      <c r="E133" s="102">
        <f>INSUMOS!E134</f>
        <v>24</v>
      </c>
    </row>
    <row r="134" spans="1:5" x14ac:dyDescent="0.25">
      <c r="A134" s="77" t="s">
        <v>658</v>
      </c>
      <c r="B134" s="78">
        <f>INSUMOS!B5</f>
        <v>154000</v>
      </c>
      <c r="C134" s="98">
        <v>0.15</v>
      </c>
      <c r="D134" s="75">
        <f>C134*B134</f>
        <v>23100</v>
      </c>
      <c r="E134" s="97">
        <f>0.15*INSUMOS!E5</f>
        <v>2.3865922265492139</v>
      </c>
    </row>
    <row r="135" spans="1:5" x14ac:dyDescent="0.25">
      <c r="A135" s="77" t="s">
        <v>659</v>
      </c>
      <c r="B135" s="78">
        <f>INSUMOS!B297</f>
        <v>200000</v>
      </c>
      <c r="C135" s="98">
        <v>1</v>
      </c>
      <c r="D135" s="75">
        <f>C135*B135</f>
        <v>200000</v>
      </c>
      <c r="E135" s="105" t="s">
        <v>232</v>
      </c>
    </row>
    <row r="136" spans="1:5" x14ac:dyDescent="0.25">
      <c r="A136" s="77" t="s">
        <v>702</v>
      </c>
      <c r="B136" s="78">
        <f>INSUMOS!B292</f>
        <v>200000</v>
      </c>
      <c r="C136" s="98">
        <v>1</v>
      </c>
      <c r="D136" s="75">
        <f>C136*B136</f>
        <v>200000</v>
      </c>
      <c r="E136" s="105"/>
    </row>
    <row r="137" spans="1:5" x14ac:dyDescent="0.25">
      <c r="A137" s="77" t="s">
        <v>703</v>
      </c>
      <c r="B137" s="78">
        <f>INSUMOS!B306</f>
        <v>80000</v>
      </c>
      <c r="C137" s="98">
        <v>1</v>
      </c>
      <c r="D137" s="75">
        <f>C137*B137</f>
        <v>80000</v>
      </c>
      <c r="E137" s="105"/>
    </row>
    <row r="138" spans="1:5" x14ac:dyDescent="0.25">
      <c r="A138" s="82"/>
      <c r="B138" s="83"/>
      <c r="C138" s="83" t="s">
        <v>122</v>
      </c>
      <c r="D138" s="83">
        <f>SUM(D133:D137)</f>
        <v>763100</v>
      </c>
      <c r="E138" s="100">
        <f>SUM(E133:E137)</f>
        <v>26.386592226549215</v>
      </c>
    </row>
    <row r="141" spans="1:5" x14ac:dyDescent="0.25">
      <c r="A141" s="279" t="s">
        <v>704</v>
      </c>
      <c r="B141" s="279"/>
      <c r="C141" s="279"/>
      <c r="D141" s="279"/>
      <c r="E141" s="279"/>
    </row>
    <row r="142" spans="1:5" x14ac:dyDescent="0.25">
      <c r="A142" s="72" t="s">
        <v>92</v>
      </c>
      <c r="B142" s="72" t="s">
        <v>226</v>
      </c>
      <c r="C142" s="72" t="s">
        <v>227</v>
      </c>
      <c r="D142" s="72" t="s">
        <v>228</v>
      </c>
      <c r="E142" s="73" t="s">
        <v>229</v>
      </c>
    </row>
    <row r="143" spans="1:5" x14ac:dyDescent="0.25">
      <c r="A143" s="74" t="s">
        <v>701</v>
      </c>
      <c r="B143" s="75">
        <f>INSUMOS!B134</f>
        <v>260000</v>
      </c>
      <c r="C143" s="103">
        <v>1</v>
      </c>
      <c r="D143" s="75">
        <f>C143*B143</f>
        <v>260000</v>
      </c>
      <c r="E143" s="102">
        <f>INSUMOS!E134</f>
        <v>24</v>
      </c>
    </row>
    <row r="144" spans="1:5" x14ac:dyDescent="0.25">
      <c r="A144" s="77" t="s">
        <v>696</v>
      </c>
      <c r="B144" s="78">
        <f>INSUMOS!B7</f>
        <v>461000</v>
      </c>
      <c r="C144" s="98">
        <v>0.15</v>
      </c>
      <c r="D144" s="75">
        <f>C144*B144</f>
        <v>69150</v>
      </c>
      <c r="E144" s="97">
        <f>0.15*INSUMOS!E7</f>
        <v>5.3698325097357316</v>
      </c>
    </row>
    <row r="145" spans="1:5" x14ac:dyDescent="0.25">
      <c r="A145" s="77" t="s">
        <v>697</v>
      </c>
      <c r="B145" s="78">
        <f>INSUMOS!B298</f>
        <v>250000</v>
      </c>
      <c r="C145" s="98">
        <v>1</v>
      </c>
      <c r="D145" s="75">
        <f>C145*B145</f>
        <v>250000</v>
      </c>
      <c r="E145" s="105" t="s">
        <v>232</v>
      </c>
    </row>
    <row r="146" spans="1:5" x14ac:dyDescent="0.25">
      <c r="A146" s="77" t="s">
        <v>702</v>
      </c>
      <c r="B146" s="78">
        <f>INSUMOS!B292</f>
        <v>200000</v>
      </c>
      <c r="C146" s="98">
        <v>1</v>
      </c>
      <c r="D146" s="75">
        <f>C146*B146</f>
        <v>200000</v>
      </c>
      <c r="E146" s="105"/>
    </row>
    <row r="147" spans="1:5" x14ac:dyDescent="0.25">
      <c r="A147" s="77" t="s">
        <v>703</v>
      </c>
      <c r="B147" s="78">
        <f>INSUMOS!B306</f>
        <v>80000</v>
      </c>
      <c r="C147" s="98">
        <v>1</v>
      </c>
      <c r="D147" s="75">
        <f>C147*B147</f>
        <v>80000</v>
      </c>
      <c r="E147" s="105"/>
    </row>
    <row r="148" spans="1:5" x14ac:dyDescent="0.25">
      <c r="A148" s="82"/>
      <c r="B148" s="83"/>
      <c r="C148" s="83" t="s">
        <v>122</v>
      </c>
      <c r="D148" s="83">
        <f>SUM(D143:D147)</f>
        <v>859150</v>
      </c>
      <c r="E148" s="100">
        <f>SUM(E143:E147)</f>
        <v>29.36983250973573</v>
      </c>
    </row>
    <row r="151" spans="1:5" x14ac:dyDescent="0.25">
      <c r="A151" s="279" t="s">
        <v>705</v>
      </c>
      <c r="B151" s="279"/>
      <c r="C151" s="279"/>
      <c r="D151" s="279"/>
      <c r="E151" s="279"/>
    </row>
    <row r="152" spans="1:5" x14ac:dyDescent="0.25">
      <c r="A152" s="72" t="s">
        <v>92</v>
      </c>
      <c r="B152" s="72" t="s">
        <v>226</v>
      </c>
      <c r="C152" s="72" t="s">
        <v>227</v>
      </c>
      <c r="D152" s="72" t="s">
        <v>228</v>
      </c>
      <c r="E152" s="73" t="s">
        <v>229</v>
      </c>
    </row>
    <row r="153" spans="1:5" x14ac:dyDescent="0.25">
      <c r="A153" s="74" t="s">
        <v>695</v>
      </c>
      <c r="B153" s="75">
        <f>INSUMOS!B133</f>
        <v>230000</v>
      </c>
      <c r="C153" s="103">
        <v>1</v>
      </c>
      <c r="D153" s="75">
        <f>C153*B153</f>
        <v>230000</v>
      </c>
      <c r="E153" s="102">
        <f>INSUMOS!E133</f>
        <v>16.63</v>
      </c>
    </row>
    <row r="154" spans="1:5" x14ac:dyDescent="0.25">
      <c r="A154" s="77" t="s">
        <v>706</v>
      </c>
      <c r="B154" s="78">
        <f>INSUMOS!B243</f>
        <v>310000</v>
      </c>
      <c r="C154" s="98">
        <v>1</v>
      </c>
      <c r="D154" s="75">
        <f>C154*B154</f>
        <v>310000</v>
      </c>
      <c r="E154" s="97">
        <f>INSUMOS!E243</f>
        <v>6</v>
      </c>
    </row>
    <row r="155" spans="1:5" x14ac:dyDescent="0.25">
      <c r="A155" s="77" t="s">
        <v>698</v>
      </c>
      <c r="B155" s="78">
        <f>INSUMOS!B291</f>
        <v>160000</v>
      </c>
      <c r="C155" s="98">
        <v>1</v>
      </c>
      <c r="D155" s="75">
        <f>C155*B155</f>
        <v>160000</v>
      </c>
      <c r="E155" s="105" t="s">
        <v>232</v>
      </c>
    </row>
    <row r="156" spans="1:5" x14ac:dyDescent="0.25">
      <c r="A156" s="77" t="s">
        <v>699</v>
      </c>
      <c r="B156" s="78">
        <f>INSUMOS!B305</f>
        <v>70000</v>
      </c>
      <c r="C156" s="98">
        <v>1</v>
      </c>
      <c r="D156" s="75">
        <f>C156*B156</f>
        <v>70000</v>
      </c>
      <c r="E156" s="105"/>
    </row>
    <row r="157" spans="1:5" x14ac:dyDescent="0.25">
      <c r="A157" s="82"/>
      <c r="B157" s="83"/>
      <c r="C157" s="113" t="s">
        <v>122</v>
      </c>
      <c r="D157" s="83">
        <f>SUM(D153:D156)</f>
        <v>770000</v>
      </c>
      <c r="E157" s="100">
        <f>SUM(E153:E156)</f>
        <v>22.63</v>
      </c>
    </row>
    <row r="160" spans="1:5" x14ac:dyDescent="0.25">
      <c r="A160" s="279" t="s">
        <v>707</v>
      </c>
      <c r="B160" s="279"/>
      <c r="C160" s="279"/>
      <c r="D160" s="279"/>
      <c r="E160" s="279"/>
    </row>
    <row r="161" spans="1:5" x14ac:dyDescent="0.25">
      <c r="A161" s="72" t="s">
        <v>92</v>
      </c>
      <c r="B161" s="72" t="s">
        <v>226</v>
      </c>
      <c r="C161" s="72" t="s">
        <v>227</v>
      </c>
      <c r="D161" s="72" t="s">
        <v>228</v>
      </c>
      <c r="E161" s="73" t="s">
        <v>229</v>
      </c>
    </row>
    <row r="162" spans="1:5" x14ac:dyDescent="0.25">
      <c r="A162" s="74" t="s">
        <v>701</v>
      </c>
      <c r="B162" s="75">
        <f>INSUMOS!B134</f>
        <v>260000</v>
      </c>
      <c r="C162" s="103">
        <v>1</v>
      </c>
      <c r="D162" s="75">
        <f>C162*B162</f>
        <v>260000</v>
      </c>
      <c r="E162" s="102">
        <f>INSUMOS!E134</f>
        <v>24</v>
      </c>
    </row>
    <row r="163" spans="1:5" x14ac:dyDescent="0.25">
      <c r="A163" s="77" t="s">
        <v>706</v>
      </c>
      <c r="B163" s="78">
        <f>INSUMOS!B243</f>
        <v>310000</v>
      </c>
      <c r="C163" s="98">
        <v>1</v>
      </c>
      <c r="D163" s="75">
        <f>C163*B163</f>
        <v>310000</v>
      </c>
      <c r="E163" s="97">
        <f>INSUMOS!E243</f>
        <v>6</v>
      </c>
    </row>
    <row r="164" spans="1:5" x14ac:dyDescent="0.25">
      <c r="A164" s="77" t="s">
        <v>702</v>
      </c>
      <c r="B164" s="78">
        <f>INSUMOS!B292</f>
        <v>200000</v>
      </c>
      <c r="C164" s="98">
        <v>1</v>
      </c>
      <c r="D164" s="75">
        <f>C164*B164</f>
        <v>200000</v>
      </c>
      <c r="E164" s="105" t="s">
        <v>232</v>
      </c>
    </row>
    <row r="165" spans="1:5" x14ac:dyDescent="0.25">
      <c r="A165" s="77" t="s">
        <v>703</v>
      </c>
      <c r="B165" s="78">
        <f>INSUMOS!B306</f>
        <v>80000</v>
      </c>
      <c r="C165" s="98">
        <v>1</v>
      </c>
      <c r="D165" s="75">
        <f>C165*B165</f>
        <v>80000</v>
      </c>
      <c r="E165" s="105"/>
    </row>
    <row r="166" spans="1:5" x14ac:dyDescent="0.25">
      <c r="A166" s="82"/>
      <c r="B166" s="83"/>
      <c r="C166" s="113" t="s">
        <v>122</v>
      </c>
      <c r="D166" s="83">
        <f>SUM(D162:D165)</f>
        <v>850000</v>
      </c>
      <c r="E166" s="100">
        <f>SUM(E162:E165)</f>
        <v>30</v>
      </c>
    </row>
    <row r="170" spans="1:5" x14ac:dyDescent="0.25">
      <c r="A170" s="279" t="s">
        <v>708</v>
      </c>
      <c r="B170" s="279"/>
      <c r="C170" s="279"/>
      <c r="D170" s="279"/>
      <c r="E170" s="279"/>
    </row>
    <row r="171" spans="1:5" x14ac:dyDescent="0.25">
      <c r="A171" s="72" t="s">
        <v>92</v>
      </c>
      <c r="B171" s="72" t="s">
        <v>226</v>
      </c>
      <c r="C171" s="72" t="s">
        <v>227</v>
      </c>
      <c r="D171" s="72" t="s">
        <v>228</v>
      </c>
      <c r="E171" s="73" t="s">
        <v>229</v>
      </c>
    </row>
    <row r="172" spans="1:5" x14ac:dyDescent="0.25">
      <c r="A172" s="74" t="s">
        <v>701</v>
      </c>
      <c r="B172" s="75">
        <f>INSUMOS!B134</f>
        <v>260000</v>
      </c>
      <c r="C172" s="103">
        <v>1</v>
      </c>
      <c r="D172" s="75">
        <f>C172*B172</f>
        <v>260000</v>
      </c>
      <c r="E172" s="102">
        <f>INSUMOS!E134</f>
        <v>24</v>
      </c>
    </row>
    <row r="173" spans="1:5" x14ac:dyDescent="0.25">
      <c r="A173" s="77" t="s">
        <v>709</v>
      </c>
      <c r="B173" s="78">
        <f>INSUMOS!B244</f>
        <v>340000</v>
      </c>
      <c r="C173" s="98">
        <v>1</v>
      </c>
      <c r="D173" s="75">
        <f>C173*B173</f>
        <v>340000</v>
      </c>
      <c r="E173" s="97">
        <f>INSUMOS!E244</f>
        <v>8</v>
      </c>
    </row>
    <row r="174" spans="1:5" x14ac:dyDescent="0.25">
      <c r="A174" s="77" t="s">
        <v>702</v>
      </c>
      <c r="B174" s="78">
        <f>INSUMOS!B292</f>
        <v>200000</v>
      </c>
      <c r="C174" s="98">
        <v>1</v>
      </c>
      <c r="D174" s="75">
        <f>C174*B174</f>
        <v>200000</v>
      </c>
      <c r="E174" s="105" t="s">
        <v>232</v>
      </c>
    </row>
    <row r="175" spans="1:5" x14ac:dyDescent="0.25">
      <c r="A175" s="77" t="s">
        <v>703</v>
      </c>
      <c r="B175" s="78">
        <f>INSUMOS!B306</f>
        <v>80000</v>
      </c>
      <c r="C175" s="98">
        <v>1</v>
      </c>
      <c r="D175" s="75">
        <f>C175*B175</f>
        <v>80000</v>
      </c>
      <c r="E175" s="105"/>
    </row>
    <row r="176" spans="1:5" x14ac:dyDescent="0.25">
      <c r="A176" s="82"/>
      <c r="B176" s="83"/>
      <c r="C176" s="113" t="s">
        <v>122</v>
      </c>
      <c r="D176" s="83">
        <f>SUM(D172:D175)</f>
        <v>880000</v>
      </c>
      <c r="E176" s="100">
        <f>SUM(E172:E175)</f>
        <v>32</v>
      </c>
    </row>
    <row r="180" spans="1:5" x14ac:dyDescent="0.25">
      <c r="A180" s="279" t="s">
        <v>710</v>
      </c>
      <c r="B180" s="279"/>
      <c r="C180" s="279"/>
      <c r="D180" s="279"/>
      <c r="E180" s="279"/>
    </row>
    <row r="181" spans="1:5" x14ac:dyDescent="0.25">
      <c r="A181" s="72" t="s">
        <v>92</v>
      </c>
      <c r="B181" s="72" t="s">
        <v>226</v>
      </c>
      <c r="C181" s="72" t="s">
        <v>227</v>
      </c>
      <c r="D181" s="72" t="s">
        <v>228</v>
      </c>
      <c r="E181" s="73" t="s">
        <v>229</v>
      </c>
    </row>
    <row r="182" spans="1:5" x14ac:dyDescent="0.25">
      <c r="A182" s="74" t="s">
        <v>711</v>
      </c>
      <c r="B182" s="75">
        <f>INSUMOS!B146</f>
        <v>95000</v>
      </c>
      <c r="C182" s="103">
        <v>1</v>
      </c>
      <c r="D182" s="75">
        <f>C182*B182</f>
        <v>95000</v>
      </c>
      <c r="E182" s="102">
        <f>INSUMOS!E146</f>
        <v>0.9</v>
      </c>
    </row>
    <row r="183" spans="1:5" x14ac:dyDescent="0.25">
      <c r="A183" s="77" t="s">
        <v>649</v>
      </c>
      <c r="B183" s="78">
        <f>INSUMOS!B4</f>
        <v>87000</v>
      </c>
      <c r="C183" s="98">
        <v>0.15</v>
      </c>
      <c r="D183" s="75">
        <f>C183*B183</f>
        <v>13050</v>
      </c>
      <c r="E183" s="97">
        <f>0.15*INSUMOS!E4</f>
        <v>1.3424581274339329</v>
      </c>
    </row>
    <row r="184" spans="1:5" x14ac:dyDescent="0.25">
      <c r="A184" s="77" t="s">
        <v>650</v>
      </c>
      <c r="B184" s="78">
        <f>INSUMOS!B296</f>
        <v>178200</v>
      </c>
      <c r="C184" s="98">
        <v>1</v>
      </c>
      <c r="D184" s="75">
        <f>C184*B184</f>
        <v>178200</v>
      </c>
      <c r="E184" s="105" t="s">
        <v>232</v>
      </c>
    </row>
    <row r="185" spans="1:5" x14ac:dyDescent="0.25">
      <c r="A185" s="77" t="s">
        <v>712</v>
      </c>
      <c r="B185" s="78">
        <f>INSUMOS!B347</f>
        <v>120000</v>
      </c>
      <c r="C185" s="98">
        <v>1</v>
      </c>
      <c r="D185" s="75">
        <f>C185*B185</f>
        <v>120000</v>
      </c>
      <c r="E185" s="105"/>
    </row>
    <row r="186" spans="1:5" x14ac:dyDescent="0.25">
      <c r="A186" s="77" t="s">
        <v>713</v>
      </c>
      <c r="B186" s="78">
        <f>INSUMOS!B310</f>
        <v>30000</v>
      </c>
      <c r="C186" s="98">
        <v>1</v>
      </c>
      <c r="D186" s="75">
        <f>C186*B186</f>
        <v>30000</v>
      </c>
      <c r="E186" s="105"/>
    </row>
    <row r="187" spans="1:5" x14ac:dyDescent="0.25">
      <c r="A187" s="82"/>
      <c r="B187" s="83"/>
      <c r="C187" s="83" t="s">
        <v>122</v>
      </c>
      <c r="D187" s="83">
        <f>SUM(D182:D186)</f>
        <v>436250</v>
      </c>
      <c r="E187" s="100">
        <f>SUM(E182:E186)</f>
        <v>2.2424581274339328</v>
      </c>
    </row>
    <row r="190" spans="1:5" x14ac:dyDescent="0.25">
      <c r="A190" s="279" t="s">
        <v>714</v>
      </c>
      <c r="B190" s="279"/>
      <c r="C190" s="279"/>
      <c r="D190" s="279"/>
      <c r="E190" s="279"/>
    </row>
    <row r="191" spans="1:5" x14ac:dyDescent="0.25">
      <c r="A191" s="72" t="s">
        <v>92</v>
      </c>
      <c r="B191" s="72" t="s">
        <v>226</v>
      </c>
      <c r="C191" s="72" t="s">
        <v>227</v>
      </c>
      <c r="D191" s="72" t="s">
        <v>228</v>
      </c>
      <c r="E191" s="73" t="s">
        <v>229</v>
      </c>
    </row>
    <row r="192" spans="1:5" x14ac:dyDescent="0.25">
      <c r="A192" s="74" t="s">
        <v>715</v>
      </c>
      <c r="B192" s="75">
        <f>INSUMOS!B147</f>
        <v>105000</v>
      </c>
      <c r="C192" s="103">
        <v>1</v>
      </c>
      <c r="D192" s="75">
        <f>C192*B192</f>
        <v>105000</v>
      </c>
      <c r="E192" s="102">
        <f>INSUMOS!E147</f>
        <v>1.6</v>
      </c>
    </row>
    <row r="193" spans="1:5" x14ac:dyDescent="0.25">
      <c r="A193" s="77" t="s">
        <v>649</v>
      </c>
      <c r="B193" s="78">
        <f>INSUMOS!B4</f>
        <v>87000</v>
      </c>
      <c r="C193" s="98">
        <v>0.15</v>
      </c>
      <c r="D193" s="75">
        <f>C193*B193</f>
        <v>13050</v>
      </c>
      <c r="E193" s="97">
        <f>0.15*INSUMOS!E4</f>
        <v>1.3424581274339329</v>
      </c>
    </row>
    <row r="194" spans="1:5" x14ac:dyDescent="0.25">
      <c r="A194" s="77" t="s">
        <v>650</v>
      </c>
      <c r="B194" s="78">
        <f>INSUMOS!B296</f>
        <v>178200</v>
      </c>
      <c r="C194" s="98">
        <v>1</v>
      </c>
      <c r="D194" s="75">
        <f>C194*B194</f>
        <v>178200</v>
      </c>
      <c r="E194" s="105" t="s">
        <v>232</v>
      </c>
    </row>
    <row r="195" spans="1:5" x14ac:dyDescent="0.25">
      <c r="A195" s="77" t="s">
        <v>682</v>
      </c>
      <c r="B195" s="78">
        <f>INSUMOS!B348</f>
        <v>120000</v>
      </c>
      <c r="C195" s="98">
        <v>1</v>
      </c>
      <c r="D195" s="75">
        <f>C195*B195</f>
        <v>120000</v>
      </c>
      <c r="E195" s="105"/>
    </row>
    <row r="196" spans="1:5" x14ac:dyDescent="0.25">
      <c r="A196" s="77" t="s">
        <v>683</v>
      </c>
      <c r="B196" s="78">
        <f>INSUMOS!B311</f>
        <v>35000</v>
      </c>
      <c r="C196" s="98">
        <v>1</v>
      </c>
      <c r="D196" s="75">
        <f>C196*B196</f>
        <v>35000</v>
      </c>
      <c r="E196" s="105"/>
    </row>
    <row r="197" spans="1:5" x14ac:dyDescent="0.25">
      <c r="A197" s="82"/>
      <c r="B197" s="83"/>
      <c r="C197" s="83" t="s">
        <v>122</v>
      </c>
      <c r="D197" s="83">
        <f>SUM(D192:D196)</f>
        <v>451250</v>
      </c>
      <c r="E197" s="100">
        <f>SUM(E192:E196)</f>
        <v>2.942458127433933</v>
      </c>
    </row>
    <row r="200" spans="1:5" x14ac:dyDescent="0.25">
      <c r="A200" s="279" t="s">
        <v>716</v>
      </c>
      <c r="B200" s="279"/>
      <c r="C200" s="279"/>
      <c r="D200" s="279"/>
      <c r="E200" s="279"/>
    </row>
    <row r="201" spans="1:5" x14ac:dyDescent="0.25">
      <c r="A201" s="72" t="s">
        <v>92</v>
      </c>
      <c r="B201" s="72" t="s">
        <v>226</v>
      </c>
      <c r="C201" s="72" t="s">
        <v>227</v>
      </c>
      <c r="D201" s="72" t="s">
        <v>228</v>
      </c>
      <c r="E201" s="73" t="s">
        <v>229</v>
      </c>
    </row>
    <row r="202" spans="1:5" x14ac:dyDescent="0.25">
      <c r="A202" s="74" t="s">
        <v>717</v>
      </c>
      <c r="B202" s="75">
        <f>INSUMOS!B148</f>
        <v>120000</v>
      </c>
      <c r="C202" s="103">
        <v>1</v>
      </c>
      <c r="D202" s="75">
        <f>C202*B202</f>
        <v>120000</v>
      </c>
      <c r="E202" s="102">
        <f>INSUMOS!E148</f>
        <v>3.2</v>
      </c>
    </row>
    <row r="203" spans="1:5" x14ac:dyDescent="0.25">
      <c r="A203" s="77" t="s">
        <v>649</v>
      </c>
      <c r="B203" s="78">
        <f>INSUMOS!B4</f>
        <v>87000</v>
      </c>
      <c r="C203" s="98">
        <v>0.15</v>
      </c>
      <c r="D203" s="75">
        <f>C203*B203</f>
        <v>13050</v>
      </c>
      <c r="E203" s="97">
        <f>0.15*INSUMOS!E4</f>
        <v>1.3424581274339329</v>
      </c>
    </row>
    <row r="204" spans="1:5" x14ac:dyDescent="0.25">
      <c r="A204" s="77" t="s">
        <v>650</v>
      </c>
      <c r="B204" s="78">
        <f>INSUMOS!B296</f>
        <v>178200</v>
      </c>
      <c r="C204" s="98">
        <v>1</v>
      </c>
      <c r="D204" s="75">
        <f>C204*B204</f>
        <v>178200</v>
      </c>
      <c r="E204" s="105" t="s">
        <v>232</v>
      </c>
    </row>
    <row r="205" spans="1:5" x14ac:dyDescent="0.25">
      <c r="A205" s="77" t="s">
        <v>692</v>
      </c>
      <c r="B205" s="78">
        <f>INSUMOS!B349</f>
        <v>120000</v>
      </c>
      <c r="C205" s="98">
        <v>1</v>
      </c>
      <c r="D205" s="75">
        <f>C205*B205</f>
        <v>120000</v>
      </c>
      <c r="E205" s="105"/>
    </row>
    <row r="206" spans="1:5" x14ac:dyDescent="0.25">
      <c r="A206" s="77" t="s">
        <v>693</v>
      </c>
      <c r="B206" s="78">
        <f>INSUMOS!B312</f>
        <v>45000</v>
      </c>
      <c r="C206" s="98">
        <v>1</v>
      </c>
      <c r="D206" s="75">
        <f>C206*B206</f>
        <v>45000</v>
      </c>
      <c r="E206" s="105"/>
    </row>
    <row r="207" spans="1:5" x14ac:dyDescent="0.25">
      <c r="A207" s="82"/>
      <c r="B207" s="83"/>
      <c r="C207" s="83" t="s">
        <v>122</v>
      </c>
      <c r="D207" s="83">
        <f>SUM(D202:D206)</f>
        <v>476250</v>
      </c>
      <c r="E207" s="100">
        <f>SUM(E202:E206)</f>
        <v>4.5424581274339335</v>
      </c>
    </row>
    <row r="210" spans="1:5" x14ac:dyDescent="0.25">
      <c r="A210" s="279" t="s">
        <v>718</v>
      </c>
      <c r="B210" s="279"/>
      <c r="C210" s="279"/>
      <c r="D210" s="279"/>
      <c r="E210" s="279"/>
    </row>
    <row r="211" spans="1:5" x14ac:dyDescent="0.25">
      <c r="A211" s="72" t="s">
        <v>92</v>
      </c>
      <c r="B211" s="72" t="s">
        <v>226</v>
      </c>
      <c r="C211" s="72" t="s">
        <v>227</v>
      </c>
      <c r="D211" s="72" t="s">
        <v>228</v>
      </c>
      <c r="E211" s="73" t="s">
        <v>229</v>
      </c>
    </row>
    <row r="212" spans="1:5" x14ac:dyDescent="0.25">
      <c r="A212" s="74" t="s">
        <v>675</v>
      </c>
      <c r="B212" s="75">
        <f>INSUMOS!B149</f>
        <v>150000</v>
      </c>
      <c r="C212" s="103">
        <v>1</v>
      </c>
      <c r="D212" s="75">
        <f>C212*B212</f>
        <v>150000</v>
      </c>
      <c r="E212" s="102">
        <f>INSUMOS!E149</f>
        <v>4.8</v>
      </c>
    </row>
    <row r="213" spans="1:5" x14ac:dyDescent="0.25">
      <c r="A213" s="77" t="s">
        <v>658</v>
      </c>
      <c r="B213" s="78">
        <f>INSUMOS!B5</f>
        <v>154000</v>
      </c>
      <c r="C213" s="98">
        <v>0.15</v>
      </c>
      <c r="D213" s="75">
        <f>C213*B213</f>
        <v>23100</v>
      </c>
      <c r="E213" s="97">
        <f>0.15*INSUMOS!E5</f>
        <v>2.3865922265492139</v>
      </c>
    </row>
    <row r="214" spans="1:5" x14ac:dyDescent="0.25">
      <c r="A214" s="77" t="s">
        <v>659</v>
      </c>
      <c r="B214" s="78">
        <f>INSUMOS!B297</f>
        <v>200000</v>
      </c>
      <c r="C214" s="98">
        <v>1</v>
      </c>
      <c r="D214" s="75">
        <f>C214*B214</f>
        <v>200000</v>
      </c>
      <c r="E214" s="105" t="s">
        <v>232</v>
      </c>
    </row>
    <row r="215" spans="1:5" x14ac:dyDescent="0.25">
      <c r="A215" s="77" t="s">
        <v>676</v>
      </c>
      <c r="B215" s="78">
        <f>INSUMOS!B350</f>
        <v>150000</v>
      </c>
      <c r="C215" s="98">
        <v>1</v>
      </c>
      <c r="D215" s="75">
        <f>C215*B215</f>
        <v>150000</v>
      </c>
      <c r="E215" s="105"/>
    </row>
    <row r="216" spans="1:5" x14ac:dyDescent="0.25">
      <c r="A216" s="77" t="s">
        <v>677</v>
      </c>
      <c r="B216" s="78">
        <f>INSUMOS!B313</f>
        <v>50000</v>
      </c>
      <c r="C216" s="98">
        <v>1</v>
      </c>
      <c r="D216" s="75">
        <f>C216*B216</f>
        <v>50000</v>
      </c>
      <c r="E216" s="105"/>
    </row>
    <row r="217" spans="1:5" x14ac:dyDescent="0.25">
      <c r="A217" s="82"/>
      <c r="B217" s="83"/>
      <c r="C217" s="83" t="s">
        <v>122</v>
      </c>
      <c r="D217" s="83">
        <f>SUM(D212:D216)</f>
        <v>573100</v>
      </c>
      <c r="E217" s="100">
        <f>SUM(E212:E216)</f>
        <v>7.1865922265492141</v>
      </c>
    </row>
    <row r="220" spans="1:5" x14ac:dyDescent="0.25">
      <c r="A220" s="279" t="s">
        <v>719</v>
      </c>
      <c r="B220" s="279"/>
      <c r="C220" s="279"/>
      <c r="D220" s="279"/>
      <c r="E220" s="279"/>
    </row>
    <row r="221" spans="1:5" x14ac:dyDescent="0.25">
      <c r="A221" s="72" t="s">
        <v>92</v>
      </c>
      <c r="B221" s="72" t="s">
        <v>226</v>
      </c>
      <c r="C221" s="72" t="s">
        <v>227</v>
      </c>
      <c r="D221" s="72" t="s">
        <v>228</v>
      </c>
      <c r="E221" s="73" t="s">
        <v>229</v>
      </c>
    </row>
    <row r="222" spans="1:5" x14ac:dyDescent="0.25">
      <c r="A222" s="74" t="s">
        <v>720</v>
      </c>
      <c r="B222" s="75">
        <f>INSUMOS!B150</f>
        <v>180000</v>
      </c>
      <c r="C222" s="103">
        <v>1</v>
      </c>
      <c r="D222" s="75">
        <f>C222*B222</f>
        <v>180000</v>
      </c>
      <c r="E222" s="102">
        <f>INSUMOS!E150</f>
        <v>5.5</v>
      </c>
    </row>
    <row r="223" spans="1:5" x14ac:dyDescent="0.25">
      <c r="A223" s="77" t="s">
        <v>696</v>
      </c>
      <c r="B223" s="78">
        <f>INSUMOS!B7</f>
        <v>461000</v>
      </c>
      <c r="C223" s="98">
        <v>0.15</v>
      </c>
      <c r="D223" s="75">
        <f>C223*B223</f>
        <v>69150</v>
      </c>
      <c r="E223" s="97">
        <f>0.15*INSUMOS!E7</f>
        <v>5.3698325097357316</v>
      </c>
    </row>
    <row r="224" spans="1:5" x14ac:dyDescent="0.25">
      <c r="A224" s="77" t="s">
        <v>697</v>
      </c>
      <c r="B224" s="78">
        <f>INSUMOS!B298</f>
        <v>250000</v>
      </c>
      <c r="C224" s="98">
        <v>1</v>
      </c>
      <c r="D224" s="75">
        <f>C224*B224</f>
        <v>250000</v>
      </c>
      <c r="E224" s="105" t="s">
        <v>232</v>
      </c>
    </row>
    <row r="225" spans="1:5" x14ac:dyDescent="0.25">
      <c r="A225" s="77" t="s">
        <v>721</v>
      </c>
      <c r="B225" s="78">
        <f>INSUMOS!B351</f>
        <v>200000</v>
      </c>
      <c r="C225" s="98">
        <v>1</v>
      </c>
      <c r="D225" s="75">
        <f>C225*B225</f>
        <v>200000</v>
      </c>
      <c r="E225" s="105"/>
    </row>
    <row r="226" spans="1:5" x14ac:dyDescent="0.25">
      <c r="A226" s="77" t="s">
        <v>722</v>
      </c>
      <c r="B226" s="78">
        <f>INSUMOS!B314</f>
        <v>60000</v>
      </c>
      <c r="C226" s="98">
        <v>1</v>
      </c>
      <c r="D226" s="75">
        <f>C226*B226</f>
        <v>60000</v>
      </c>
      <c r="E226" s="105"/>
    </row>
    <row r="227" spans="1:5" x14ac:dyDescent="0.25">
      <c r="A227" s="82"/>
      <c r="B227" s="83"/>
      <c r="C227" s="83" t="s">
        <v>122</v>
      </c>
      <c r="D227" s="83">
        <f>SUM(D222:D226)</f>
        <v>759150</v>
      </c>
      <c r="E227" s="100">
        <f>SUM(E222:E226)</f>
        <v>10.869832509735732</v>
      </c>
    </row>
    <row r="230" spans="1:5" x14ac:dyDescent="0.25">
      <c r="A230" s="279" t="s">
        <v>723</v>
      </c>
      <c r="B230" s="279"/>
      <c r="C230" s="279"/>
      <c r="D230" s="279"/>
      <c r="E230" s="279"/>
    </row>
    <row r="231" spans="1:5" x14ac:dyDescent="0.25">
      <c r="A231" s="71" t="s">
        <v>92</v>
      </c>
      <c r="B231" s="72" t="s">
        <v>226</v>
      </c>
      <c r="C231" s="72" t="s">
        <v>227</v>
      </c>
      <c r="D231" s="72" t="s">
        <v>228</v>
      </c>
      <c r="E231" s="73" t="s">
        <v>229</v>
      </c>
    </row>
    <row r="232" spans="1:5" x14ac:dyDescent="0.25">
      <c r="A232" s="74" t="s">
        <v>724</v>
      </c>
      <c r="B232" s="75">
        <f>INSUMOS!B151</f>
        <v>205000</v>
      </c>
      <c r="C232" s="103">
        <v>1</v>
      </c>
      <c r="D232" s="75">
        <f>C232*B232</f>
        <v>205000</v>
      </c>
      <c r="E232" s="102">
        <f>INSUMOS!E151</f>
        <v>9.8000000000000007</v>
      </c>
    </row>
    <row r="233" spans="1:5" x14ac:dyDescent="0.25">
      <c r="A233" s="77" t="s">
        <v>725</v>
      </c>
      <c r="B233" s="78">
        <f>INSUMOS!B207</f>
        <v>240000</v>
      </c>
      <c r="C233" s="98">
        <v>1</v>
      </c>
      <c r="D233" s="75">
        <f>C233*B233</f>
        <v>240000</v>
      </c>
      <c r="E233" s="97">
        <f>INSUMOS!E207</f>
        <v>4</v>
      </c>
    </row>
    <row r="234" spans="1:5" x14ac:dyDescent="0.25">
      <c r="A234" s="77" t="s">
        <v>726</v>
      </c>
      <c r="B234" s="78">
        <f>INSUMOS!B352</f>
        <v>230000</v>
      </c>
      <c r="C234" s="98">
        <v>1</v>
      </c>
      <c r="D234" s="75">
        <f>C234*B234</f>
        <v>230000</v>
      </c>
      <c r="E234" s="105" t="s">
        <v>232</v>
      </c>
    </row>
    <row r="235" spans="1:5" x14ac:dyDescent="0.25">
      <c r="A235" s="77" t="s">
        <v>727</v>
      </c>
      <c r="B235" s="78">
        <f>INSUMOS!B315</f>
        <v>70000</v>
      </c>
      <c r="C235" s="98">
        <v>1</v>
      </c>
      <c r="D235" s="75">
        <f>C235*B235</f>
        <v>70000</v>
      </c>
      <c r="E235" s="105"/>
    </row>
    <row r="236" spans="1:5" x14ac:dyDescent="0.25">
      <c r="A236" s="82"/>
      <c r="B236" s="83"/>
      <c r="C236" s="113" t="s">
        <v>122</v>
      </c>
      <c r="D236" s="83">
        <f>SUM(D232:D235)</f>
        <v>745000</v>
      </c>
      <c r="E236" s="100">
        <f>SUM(E232:E235)</f>
        <v>13.8</v>
      </c>
    </row>
    <row r="240" spans="1:5" x14ac:dyDescent="0.25">
      <c r="A240" s="279" t="s">
        <v>728</v>
      </c>
      <c r="B240" s="279"/>
      <c r="C240" s="279"/>
      <c r="D240" s="279"/>
      <c r="E240" s="279"/>
    </row>
    <row r="241" spans="1:5" x14ac:dyDescent="0.25">
      <c r="A241" s="72" t="s">
        <v>92</v>
      </c>
      <c r="B241" s="72" t="s">
        <v>226</v>
      </c>
      <c r="C241" s="72" t="s">
        <v>227</v>
      </c>
      <c r="D241" s="72" t="s">
        <v>228</v>
      </c>
      <c r="E241" s="73" t="s">
        <v>229</v>
      </c>
    </row>
    <row r="242" spans="1:5" x14ac:dyDescent="0.25">
      <c r="A242" s="74" t="s">
        <v>729</v>
      </c>
      <c r="B242" s="75">
        <f>INSUMOS!B152</f>
        <v>230000</v>
      </c>
      <c r="C242" s="103">
        <v>1</v>
      </c>
      <c r="D242" s="75">
        <f>C242*B242</f>
        <v>230000</v>
      </c>
      <c r="E242" s="102">
        <f>INSUMOS!E152</f>
        <v>11.3</v>
      </c>
    </row>
    <row r="243" spans="1:5" x14ac:dyDescent="0.25">
      <c r="A243" s="77" t="s">
        <v>730</v>
      </c>
      <c r="B243" s="78">
        <f>INSUMOS!B206</f>
        <v>230000</v>
      </c>
      <c r="C243" s="98">
        <v>1</v>
      </c>
      <c r="D243" s="75">
        <f>C243*B243</f>
        <v>230000</v>
      </c>
      <c r="E243" s="97">
        <f>INSUMOS!E206</f>
        <v>3</v>
      </c>
    </row>
    <row r="244" spans="1:5" x14ac:dyDescent="0.25">
      <c r="A244" s="77" t="s">
        <v>731</v>
      </c>
      <c r="B244" s="78">
        <f>INSUMOS!B353</f>
        <v>250000</v>
      </c>
      <c r="C244" s="98">
        <v>1</v>
      </c>
      <c r="D244" s="75">
        <f>C244*B244</f>
        <v>250000</v>
      </c>
      <c r="E244" s="105" t="s">
        <v>232</v>
      </c>
    </row>
    <row r="245" spans="1:5" x14ac:dyDescent="0.25">
      <c r="A245" s="77" t="s">
        <v>732</v>
      </c>
      <c r="B245" s="78">
        <f>INSUMOS!B316</f>
        <v>80000</v>
      </c>
      <c r="C245" s="98">
        <v>1</v>
      </c>
      <c r="D245" s="75">
        <f>C245*B245</f>
        <v>80000</v>
      </c>
      <c r="E245" s="105"/>
    </row>
    <row r="246" spans="1:5" x14ac:dyDescent="0.25">
      <c r="A246" s="82"/>
      <c r="B246" s="83"/>
      <c r="C246" s="113" t="s">
        <v>122</v>
      </c>
      <c r="D246" s="83">
        <f>SUM(D242:D245)</f>
        <v>790000</v>
      </c>
      <c r="E246" s="100">
        <f>SUM(E242:E245)</f>
        <v>14.3</v>
      </c>
    </row>
    <row r="250" spans="1:5" x14ac:dyDescent="0.25">
      <c r="A250" s="279" t="s">
        <v>733</v>
      </c>
      <c r="B250" s="279"/>
      <c r="C250" s="279"/>
      <c r="D250" s="279"/>
      <c r="E250" s="279"/>
    </row>
    <row r="251" spans="1:5" x14ac:dyDescent="0.25">
      <c r="A251" s="72" t="s">
        <v>92</v>
      </c>
      <c r="B251" s="72" t="s">
        <v>226</v>
      </c>
      <c r="C251" s="72" t="s">
        <v>227</v>
      </c>
      <c r="D251" s="72" t="s">
        <v>228</v>
      </c>
      <c r="E251" s="73" t="s">
        <v>229</v>
      </c>
    </row>
    <row r="252" spans="1:5" x14ac:dyDescent="0.25">
      <c r="A252" s="74" t="s">
        <v>734</v>
      </c>
      <c r="B252" s="75">
        <f>INSUMOS!B153</f>
        <v>350000</v>
      </c>
      <c r="C252" s="103">
        <v>1</v>
      </c>
      <c r="D252" s="75">
        <f>C252*B252</f>
        <v>350000</v>
      </c>
      <c r="E252" s="102">
        <f>INSUMOS!E153</f>
        <v>22.5</v>
      </c>
    </row>
    <row r="253" spans="1:5" x14ac:dyDescent="0.25">
      <c r="A253" s="77" t="s">
        <v>735</v>
      </c>
      <c r="B253" s="78">
        <f>INSUMOS!B207</f>
        <v>240000</v>
      </c>
      <c r="C253" s="98">
        <v>1</v>
      </c>
      <c r="D253" s="75">
        <f>C253*B253</f>
        <v>240000</v>
      </c>
      <c r="E253" s="97">
        <f>INSUMOS!E207</f>
        <v>4</v>
      </c>
    </row>
    <row r="254" spans="1:5" x14ac:dyDescent="0.25">
      <c r="A254" s="77" t="s">
        <v>736</v>
      </c>
      <c r="B254" s="78">
        <f>INSUMOS!B354</f>
        <v>530000</v>
      </c>
      <c r="C254" s="98">
        <v>1</v>
      </c>
      <c r="D254" s="75">
        <f>C254*B254</f>
        <v>530000</v>
      </c>
      <c r="E254" s="105" t="s">
        <v>232</v>
      </c>
    </row>
    <row r="255" spans="1:5" x14ac:dyDescent="0.25">
      <c r="A255" s="77" t="s">
        <v>737</v>
      </c>
      <c r="B255" s="78">
        <f>INSUMOS!B317</f>
        <v>100000</v>
      </c>
      <c r="C255" s="98">
        <v>1</v>
      </c>
      <c r="D255" s="75">
        <f>C255*B255</f>
        <v>100000</v>
      </c>
      <c r="E255" s="105"/>
    </row>
    <row r="256" spans="1:5" x14ac:dyDescent="0.25">
      <c r="A256" s="82"/>
      <c r="B256" s="83"/>
      <c r="C256" s="83" t="s">
        <v>122</v>
      </c>
      <c r="D256" s="83">
        <f>SUM(D252:D255)</f>
        <v>1220000</v>
      </c>
      <c r="E256" s="100">
        <f>SUM(E252:E255)</f>
        <v>26.5</v>
      </c>
    </row>
    <row r="259" spans="1:5" x14ac:dyDescent="0.25">
      <c r="A259" s="279" t="s">
        <v>738</v>
      </c>
      <c r="B259" s="279"/>
      <c r="C259" s="279"/>
      <c r="D259" s="279"/>
      <c r="E259" s="279"/>
    </row>
    <row r="260" spans="1:5" x14ac:dyDescent="0.25">
      <c r="A260" s="72" t="s">
        <v>92</v>
      </c>
      <c r="B260" s="72" t="s">
        <v>226</v>
      </c>
      <c r="C260" s="72" t="s">
        <v>227</v>
      </c>
      <c r="D260" s="72" t="s">
        <v>228</v>
      </c>
      <c r="E260" s="73" t="s">
        <v>229</v>
      </c>
    </row>
    <row r="261" spans="1:5" x14ac:dyDescent="0.25">
      <c r="A261" s="74" t="s">
        <v>685</v>
      </c>
      <c r="B261" s="75">
        <f>INSUMOS!B154</f>
        <v>850000</v>
      </c>
      <c r="C261" s="103">
        <v>1</v>
      </c>
      <c r="D261" s="75">
        <f>C261*B261</f>
        <v>850000</v>
      </c>
      <c r="E261" s="102">
        <f>INSUMOS!E154</f>
        <v>28.5</v>
      </c>
    </row>
    <row r="262" spans="1:5" x14ac:dyDescent="0.25">
      <c r="A262" s="77" t="s">
        <v>735</v>
      </c>
      <c r="B262" s="78">
        <f>INSUMOS!B207</f>
        <v>240000</v>
      </c>
      <c r="C262" s="98">
        <v>1</v>
      </c>
      <c r="D262" s="75">
        <f>C262*B262</f>
        <v>240000</v>
      </c>
      <c r="E262" s="97">
        <f>INSUMOS!E207</f>
        <v>4</v>
      </c>
    </row>
    <row r="263" spans="1:5" x14ac:dyDescent="0.25">
      <c r="A263" s="77" t="s">
        <v>687</v>
      </c>
      <c r="B263" s="78">
        <f>INSUMOS!B355</f>
        <v>600000</v>
      </c>
      <c r="C263" s="98">
        <v>1</v>
      </c>
      <c r="D263" s="75">
        <f>C263*B263</f>
        <v>600000</v>
      </c>
      <c r="E263" s="105" t="s">
        <v>232</v>
      </c>
    </row>
    <row r="264" spans="1:5" x14ac:dyDescent="0.25">
      <c r="A264" s="77" t="s">
        <v>688</v>
      </c>
      <c r="B264" s="78">
        <f>INSUMOS!B374</f>
        <v>260000</v>
      </c>
      <c r="C264" s="98">
        <v>1</v>
      </c>
      <c r="D264" s="75">
        <f>C264*B264</f>
        <v>260000</v>
      </c>
      <c r="E264" s="105"/>
    </row>
    <row r="265" spans="1:5" x14ac:dyDescent="0.25">
      <c r="A265" s="77" t="s">
        <v>689</v>
      </c>
      <c r="B265" s="78">
        <f>INSUMOS!B318</f>
        <v>120000</v>
      </c>
      <c r="C265" s="98">
        <v>1</v>
      </c>
      <c r="D265" s="75">
        <f>C265*B265</f>
        <v>120000</v>
      </c>
      <c r="E265" s="105"/>
    </row>
    <row r="266" spans="1:5" x14ac:dyDescent="0.25">
      <c r="A266" s="82"/>
      <c r="B266" s="83"/>
      <c r="C266" s="83" t="s">
        <v>122</v>
      </c>
      <c r="D266" s="83">
        <f>SUM(D261:D265)</f>
        <v>2070000</v>
      </c>
      <c r="E266" s="100">
        <f>SUM(E261:E265)</f>
        <v>32.5</v>
      </c>
    </row>
    <row r="269" spans="1:5" x14ac:dyDescent="0.25">
      <c r="A269" s="279" t="s">
        <v>739</v>
      </c>
      <c r="B269" s="279"/>
      <c r="C269" s="279"/>
      <c r="D269" s="279"/>
      <c r="E269" s="279"/>
    </row>
    <row r="270" spans="1:5" x14ac:dyDescent="0.25">
      <c r="A270" s="72" t="s">
        <v>92</v>
      </c>
      <c r="B270" s="72" t="s">
        <v>226</v>
      </c>
      <c r="C270" s="72" t="s">
        <v>227</v>
      </c>
      <c r="D270" s="72" t="s">
        <v>228</v>
      </c>
      <c r="E270" s="73" t="s">
        <v>229</v>
      </c>
    </row>
    <row r="271" spans="1:5" x14ac:dyDescent="0.25">
      <c r="A271" s="74" t="s">
        <v>740</v>
      </c>
      <c r="B271" s="75">
        <f>INSUMOS!B155</f>
        <v>1100000</v>
      </c>
      <c r="C271" s="103">
        <v>1</v>
      </c>
      <c r="D271" s="75">
        <f>C271*B271</f>
        <v>1100000</v>
      </c>
      <c r="E271" s="102">
        <f>INSUMOS!E155</f>
        <v>42</v>
      </c>
    </row>
    <row r="272" spans="1:5" x14ac:dyDescent="0.25">
      <c r="A272" s="77" t="s">
        <v>741</v>
      </c>
      <c r="B272" s="78">
        <f>INSUMOS!B209</f>
        <v>280000</v>
      </c>
      <c r="C272" s="98">
        <v>1</v>
      </c>
      <c r="D272" s="75">
        <f>C272*B272</f>
        <v>280000</v>
      </c>
      <c r="E272" s="97">
        <f>INSUMOS!E209</f>
        <v>6</v>
      </c>
    </row>
    <row r="273" spans="1:5" x14ac:dyDescent="0.25">
      <c r="A273" s="77" t="s">
        <v>742</v>
      </c>
      <c r="B273" s="78">
        <f>INSUMOS!B356</f>
        <v>620000</v>
      </c>
      <c r="C273" s="98">
        <v>1</v>
      </c>
      <c r="D273" s="75">
        <f>C273*B273</f>
        <v>620000</v>
      </c>
      <c r="E273" s="105" t="s">
        <v>232</v>
      </c>
    </row>
    <row r="274" spans="1:5" x14ac:dyDescent="0.25">
      <c r="A274" s="77" t="s">
        <v>743</v>
      </c>
      <c r="B274" s="78">
        <f>INSUMOS!B375</f>
        <v>330000</v>
      </c>
      <c r="C274" s="98">
        <v>1</v>
      </c>
      <c r="D274" s="75">
        <f>C274*B274</f>
        <v>330000</v>
      </c>
      <c r="E274" s="105"/>
    </row>
    <row r="275" spans="1:5" x14ac:dyDescent="0.25">
      <c r="A275" s="77" t="s">
        <v>744</v>
      </c>
      <c r="B275" s="78">
        <f>INSUMOS!B319</f>
        <v>150000</v>
      </c>
      <c r="C275" s="98">
        <v>1</v>
      </c>
      <c r="D275" s="75">
        <f>C275*B275</f>
        <v>150000</v>
      </c>
      <c r="E275" s="105"/>
    </row>
    <row r="276" spans="1:5" x14ac:dyDescent="0.25">
      <c r="A276" s="82"/>
      <c r="B276" s="83"/>
      <c r="C276" s="83" t="s">
        <v>122</v>
      </c>
      <c r="D276" s="83">
        <f>SUM(D271:D275)</f>
        <v>2480000</v>
      </c>
      <c r="E276" s="100">
        <f>SUM(E271:E275)</f>
        <v>48</v>
      </c>
    </row>
    <row r="279" spans="1:5" x14ac:dyDescent="0.25">
      <c r="A279" s="279" t="s">
        <v>745</v>
      </c>
      <c r="B279" s="279"/>
      <c r="C279" s="279"/>
      <c r="D279" s="279"/>
      <c r="E279" s="279"/>
    </row>
    <row r="280" spans="1:5" x14ac:dyDescent="0.25">
      <c r="A280" s="71" t="s">
        <v>92</v>
      </c>
      <c r="B280" s="72" t="s">
        <v>226</v>
      </c>
      <c r="C280" s="72" t="s">
        <v>227</v>
      </c>
      <c r="D280" s="72" t="s">
        <v>228</v>
      </c>
      <c r="E280" s="73" t="s">
        <v>229</v>
      </c>
    </row>
    <row r="281" spans="1:5" x14ac:dyDescent="0.25">
      <c r="A281" s="74" t="s">
        <v>746</v>
      </c>
      <c r="B281" s="75">
        <f>INSUMOS!B151</f>
        <v>205000</v>
      </c>
      <c r="C281" s="103">
        <v>1</v>
      </c>
      <c r="D281" s="75">
        <f>INSUMOS!B151</f>
        <v>205000</v>
      </c>
      <c r="E281" s="102">
        <f>INSUMOS!E151</f>
        <v>9.8000000000000007</v>
      </c>
    </row>
    <row r="282" spans="1:5" x14ac:dyDescent="0.25">
      <c r="A282" s="77" t="s">
        <v>747</v>
      </c>
      <c r="B282" s="78">
        <f>INSUMOS!B209</f>
        <v>280000</v>
      </c>
      <c r="C282" s="98">
        <v>1</v>
      </c>
      <c r="D282" s="75">
        <f>C282*B282</f>
        <v>280000</v>
      </c>
      <c r="E282" s="97">
        <f>INSUMOS!E209</f>
        <v>6</v>
      </c>
    </row>
    <row r="283" spans="1:5" x14ac:dyDescent="0.25">
      <c r="A283" s="77" t="s">
        <v>726</v>
      </c>
      <c r="B283" s="78">
        <f>INSUMOS!B352</f>
        <v>230000</v>
      </c>
      <c r="C283" s="98">
        <v>1</v>
      </c>
      <c r="D283" s="75">
        <f>C283*B283</f>
        <v>230000</v>
      </c>
      <c r="E283" s="105" t="s">
        <v>232</v>
      </c>
    </row>
    <row r="284" spans="1:5" x14ac:dyDescent="0.25">
      <c r="A284" s="77" t="s">
        <v>727</v>
      </c>
      <c r="B284" s="78">
        <f>INSUMOS!B315</f>
        <v>70000</v>
      </c>
      <c r="C284" s="98">
        <v>1</v>
      </c>
      <c r="D284" s="75">
        <f>C284*B284</f>
        <v>70000</v>
      </c>
      <c r="E284" s="105"/>
    </row>
    <row r="285" spans="1:5" x14ac:dyDescent="0.25">
      <c r="A285" s="82"/>
      <c r="B285" s="83"/>
      <c r="C285" s="113" t="s">
        <v>122</v>
      </c>
      <c r="D285" s="83">
        <f>SUM(D281:D284)</f>
        <v>785000</v>
      </c>
      <c r="E285" s="100">
        <f>SUM(E281:E284)</f>
        <v>15.8</v>
      </c>
    </row>
    <row r="289" spans="1:5" x14ac:dyDescent="0.25">
      <c r="A289" s="279" t="s">
        <v>748</v>
      </c>
      <c r="B289" s="279"/>
      <c r="C289" s="279"/>
      <c r="D289" s="279"/>
      <c r="E289" s="279"/>
    </row>
    <row r="290" spans="1:5" x14ac:dyDescent="0.25">
      <c r="A290" s="72" t="s">
        <v>92</v>
      </c>
      <c r="B290" s="72" t="s">
        <v>226</v>
      </c>
      <c r="C290" s="72" t="s">
        <v>227</v>
      </c>
      <c r="D290" s="72" t="s">
        <v>228</v>
      </c>
      <c r="E290" s="73" t="s">
        <v>229</v>
      </c>
    </row>
    <row r="291" spans="1:5" x14ac:dyDescent="0.25">
      <c r="A291" s="74" t="s">
        <v>734</v>
      </c>
      <c r="B291" s="75">
        <f>INSUMOS!B153</f>
        <v>350000</v>
      </c>
      <c r="C291" s="103">
        <v>1</v>
      </c>
      <c r="D291" s="75">
        <f>C291*B291</f>
        <v>350000</v>
      </c>
      <c r="E291" s="102">
        <f>INSUMOS!E153</f>
        <v>22.5</v>
      </c>
    </row>
    <row r="292" spans="1:5" x14ac:dyDescent="0.25">
      <c r="A292" s="77" t="s">
        <v>749</v>
      </c>
      <c r="B292" s="78">
        <f>INSUMOS!B208</f>
        <v>260000</v>
      </c>
      <c r="C292" s="98">
        <v>1</v>
      </c>
      <c r="D292" s="75">
        <f>C292*B292</f>
        <v>260000</v>
      </c>
      <c r="E292" s="97">
        <f>INSUMOS!E208</f>
        <v>5</v>
      </c>
    </row>
    <row r="293" spans="1:5" x14ac:dyDescent="0.25">
      <c r="A293" s="77" t="s">
        <v>736</v>
      </c>
      <c r="B293" s="78">
        <f>INSUMOS!B354</f>
        <v>530000</v>
      </c>
      <c r="C293" s="98">
        <v>1</v>
      </c>
      <c r="D293" s="75">
        <f>C293*B293</f>
        <v>530000</v>
      </c>
      <c r="E293" s="105" t="s">
        <v>232</v>
      </c>
    </row>
    <row r="294" spans="1:5" x14ac:dyDescent="0.25">
      <c r="A294" s="77" t="s">
        <v>750</v>
      </c>
      <c r="B294" s="78">
        <f>INSUMOS!B373</f>
        <v>180000</v>
      </c>
      <c r="C294" s="98">
        <v>1</v>
      </c>
      <c r="D294" s="75">
        <f>C294*B294</f>
        <v>180000</v>
      </c>
      <c r="E294" s="105"/>
    </row>
    <row r="295" spans="1:5" x14ac:dyDescent="0.25">
      <c r="A295" s="77" t="s">
        <v>737</v>
      </c>
      <c r="B295" s="78">
        <f>INSUMOS!B317</f>
        <v>100000</v>
      </c>
      <c r="C295" s="98">
        <v>1</v>
      </c>
      <c r="D295" s="75">
        <f>C295*B295</f>
        <v>100000</v>
      </c>
      <c r="E295" s="105"/>
    </row>
    <row r="296" spans="1:5" x14ac:dyDescent="0.25">
      <c r="A296" s="82"/>
      <c r="B296" s="83"/>
      <c r="C296" s="83" t="s">
        <v>122</v>
      </c>
      <c r="D296" s="83">
        <f>SUM(D291:D295)</f>
        <v>1420000</v>
      </c>
      <c r="E296" s="100">
        <f>SUM(E291:E295)</f>
        <v>27.5</v>
      </c>
    </row>
    <row r="299" spans="1:5" x14ac:dyDescent="0.25">
      <c r="A299" s="279" t="s">
        <v>751</v>
      </c>
      <c r="B299" s="279"/>
      <c r="C299" s="279"/>
      <c r="D299" s="279"/>
      <c r="E299" s="279"/>
    </row>
    <row r="300" spans="1:5" x14ac:dyDescent="0.25">
      <c r="A300" s="72" t="s">
        <v>92</v>
      </c>
      <c r="B300" s="72" t="s">
        <v>226</v>
      </c>
      <c r="C300" s="72" t="s">
        <v>227</v>
      </c>
      <c r="D300" s="72" t="s">
        <v>228</v>
      </c>
      <c r="E300" s="73" t="s">
        <v>229</v>
      </c>
    </row>
    <row r="301" spans="1:5" x14ac:dyDescent="0.25">
      <c r="A301" s="74" t="s">
        <v>752</v>
      </c>
      <c r="B301" s="75">
        <f>INSUMOS!B188</f>
        <v>120000</v>
      </c>
      <c r="C301" s="103">
        <v>1</v>
      </c>
      <c r="D301" s="75">
        <f>C301*B301</f>
        <v>120000</v>
      </c>
      <c r="E301" s="102">
        <f>INSUMOS!E188</f>
        <v>4.3</v>
      </c>
    </row>
    <row r="302" spans="1:5" x14ac:dyDescent="0.25">
      <c r="A302" s="77" t="s">
        <v>649</v>
      </c>
      <c r="B302" s="78">
        <f>INSUMOS!B4</f>
        <v>87000</v>
      </c>
      <c r="C302" s="98">
        <v>0.15</v>
      </c>
      <c r="D302" s="75">
        <f>C302*B302</f>
        <v>13050</v>
      </c>
      <c r="E302" s="97">
        <f>0.15*INSUMOS!E4</f>
        <v>1.3424581274339329</v>
      </c>
    </row>
    <row r="303" spans="1:5" x14ac:dyDescent="0.25">
      <c r="A303" s="77" t="s">
        <v>650</v>
      </c>
      <c r="B303" s="78">
        <f>INSUMOS!B296</f>
        <v>178200</v>
      </c>
      <c r="C303" s="98">
        <v>1</v>
      </c>
      <c r="D303" s="75">
        <f>C303*B303</f>
        <v>178200</v>
      </c>
      <c r="E303" s="105" t="s">
        <v>232</v>
      </c>
    </row>
    <row r="304" spans="1:5" x14ac:dyDescent="0.25">
      <c r="A304" s="77" t="s">
        <v>753</v>
      </c>
      <c r="B304" s="78">
        <f>INSUMOS!B412</f>
        <v>170000</v>
      </c>
      <c r="C304" s="98">
        <v>1</v>
      </c>
      <c r="D304" s="75">
        <f>C304*B304</f>
        <v>170000</v>
      </c>
      <c r="E304" s="105"/>
    </row>
    <row r="305" spans="1:6" x14ac:dyDescent="0.25">
      <c r="A305" s="77" t="s">
        <v>754</v>
      </c>
      <c r="B305" s="78">
        <f>INSUMOS!B324</f>
        <v>45000</v>
      </c>
      <c r="C305" s="98">
        <v>1</v>
      </c>
      <c r="D305" s="75">
        <f>C305*B305</f>
        <v>45000</v>
      </c>
      <c r="E305" s="105"/>
    </row>
    <row r="306" spans="1:6" x14ac:dyDescent="0.25">
      <c r="A306" s="82"/>
      <c r="B306" s="83"/>
      <c r="C306" s="83" t="s">
        <v>122</v>
      </c>
      <c r="D306" s="83">
        <f>SUM(D301:D305)</f>
        <v>526250</v>
      </c>
      <c r="E306" s="100">
        <f>SUM(E301:E305)</f>
        <v>5.6424581274339332</v>
      </c>
    </row>
    <row r="308" spans="1:6" x14ac:dyDescent="0.25">
      <c r="A308" s="16"/>
      <c r="B308" s="16"/>
      <c r="C308" s="16"/>
      <c r="D308" s="16"/>
      <c r="E308" s="16"/>
      <c r="F308" s="16"/>
    </row>
    <row r="309" spans="1:6" x14ac:dyDescent="0.25">
      <c r="A309" s="279" t="s">
        <v>755</v>
      </c>
      <c r="B309" s="279"/>
      <c r="C309" s="279"/>
      <c r="D309" s="279"/>
      <c r="E309" s="279"/>
      <c r="F309" s="16"/>
    </row>
    <row r="310" spans="1:6" x14ac:dyDescent="0.25">
      <c r="A310" s="72" t="s">
        <v>92</v>
      </c>
      <c r="B310" s="72" t="s">
        <v>226</v>
      </c>
      <c r="C310" s="72" t="s">
        <v>227</v>
      </c>
      <c r="D310" s="72" t="s">
        <v>228</v>
      </c>
      <c r="E310" s="73" t="s">
        <v>229</v>
      </c>
      <c r="F310" s="16"/>
    </row>
    <row r="311" spans="1:6" x14ac:dyDescent="0.25">
      <c r="A311" s="74" t="s">
        <v>756</v>
      </c>
      <c r="B311" s="75">
        <f>INSUMOS!B190</f>
        <v>250000</v>
      </c>
      <c r="C311" s="103">
        <v>1</v>
      </c>
      <c r="D311" s="75">
        <f>C311*B311</f>
        <v>250000</v>
      </c>
      <c r="E311" s="102">
        <f>INSUMOS!E190</f>
        <v>8.6999999999999993</v>
      </c>
      <c r="F311" s="16"/>
    </row>
    <row r="312" spans="1:6" x14ac:dyDescent="0.25">
      <c r="A312" s="77" t="s">
        <v>757</v>
      </c>
      <c r="B312" s="78">
        <f>INSUMOS!B232</f>
        <v>140000</v>
      </c>
      <c r="C312" s="98">
        <v>1</v>
      </c>
      <c r="D312" s="75">
        <f>C312*B312</f>
        <v>140000</v>
      </c>
      <c r="E312" s="97">
        <f>INSUMOS!E232</f>
        <v>4</v>
      </c>
      <c r="F312" s="16"/>
    </row>
    <row r="313" spans="1:6" x14ac:dyDescent="0.25">
      <c r="A313" s="77" t="s">
        <v>758</v>
      </c>
      <c r="B313" s="78">
        <f>INSUMOS!B414</f>
        <v>240000</v>
      </c>
      <c r="C313" s="98">
        <v>1</v>
      </c>
      <c r="D313" s="75">
        <f>C313*B313</f>
        <v>240000</v>
      </c>
      <c r="E313" s="105" t="s">
        <v>232</v>
      </c>
      <c r="F313" s="16"/>
    </row>
    <row r="314" spans="1:6" x14ac:dyDescent="0.25">
      <c r="A314" s="77" t="s">
        <v>759</v>
      </c>
      <c r="B314" s="78">
        <f>INSUMOS!B326</f>
        <v>60000</v>
      </c>
      <c r="C314" s="98">
        <v>1</v>
      </c>
      <c r="D314" s="75">
        <f>C314*B314</f>
        <v>60000</v>
      </c>
      <c r="E314" s="105"/>
      <c r="F314" s="16"/>
    </row>
    <row r="315" spans="1:6" x14ac:dyDescent="0.25">
      <c r="A315" s="82"/>
      <c r="B315" s="83"/>
      <c r="C315" s="113" t="s">
        <v>122</v>
      </c>
      <c r="D315" s="83">
        <f>SUM(D311:D314)</f>
        <v>690000</v>
      </c>
      <c r="E315" s="100">
        <f>SUM(E311:E314)</f>
        <v>12.7</v>
      </c>
      <c r="F315" s="16"/>
    </row>
    <row r="316" spans="1:6" x14ac:dyDescent="0.25">
      <c r="A316" s="91"/>
      <c r="B316" s="92"/>
      <c r="C316" s="92"/>
      <c r="D316" s="92"/>
      <c r="E316" s="92"/>
      <c r="F316" s="16"/>
    </row>
    <row r="317" spans="1:6" x14ac:dyDescent="0.25">
      <c r="A317" s="16"/>
      <c r="B317" s="16"/>
      <c r="C317" s="16"/>
      <c r="D317" s="16"/>
      <c r="E317" s="16"/>
      <c r="F317" s="16"/>
    </row>
    <row r="318" spans="1:6" x14ac:dyDescent="0.25">
      <c r="A318" s="16"/>
      <c r="B318" s="16"/>
      <c r="C318" s="16"/>
      <c r="D318" s="16"/>
      <c r="E318" s="16"/>
      <c r="F318" s="16"/>
    </row>
    <row r="319" spans="1:6" x14ac:dyDescent="0.25">
      <c r="A319" s="279" t="s">
        <v>760</v>
      </c>
      <c r="B319" s="279"/>
      <c r="C319" s="279"/>
      <c r="D319" s="279"/>
      <c r="E319" s="279"/>
      <c r="F319" s="16"/>
    </row>
    <row r="320" spans="1:6" x14ac:dyDescent="0.25">
      <c r="A320" s="72" t="s">
        <v>92</v>
      </c>
      <c r="B320" s="72" t="s">
        <v>226</v>
      </c>
      <c r="C320" s="72" t="s">
        <v>227</v>
      </c>
      <c r="D320" s="72" t="s">
        <v>228</v>
      </c>
      <c r="E320" s="73" t="s">
        <v>229</v>
      </c>
      <c r="F320" s="16"/>
    </row>
    <row r="321" spans="1:6" x14ac:dyDescent="0.25">
      <c r="A321" s="74" t="s">
        <v>761</v>
      </c>
      <c r="B321" s="75">
        <f>INSUMOS!B191</f>
        <v>300000</v>
      </c>
      <c r="C321" s="103">
        <v>1</v>
      </c>
      <c r="D321" s="75">
        <f>C321*B321</f>
        <v>300000</v>
      </c>
      <c r="E321" s="102">
        <f>INSUMOS!E191</f>
        <v>35.4</v>
      </c>
      <c r="F321" s="16"/>
    </row>
    <row r="322" spans="1:6" x14ac:dyDescent="0.25">
      <c r="A322" s="77" t="s">
        <v>757</v>
      </c>
      <c r="B322" s="78">
        <f>INSUMOS!B232</f>
        <v>140000</v>
      </c>
      <c r="C322" s="98">
        <v>1</v>
      </c>
      <c r="D322" s="75">
        <f>C322*B322</f>
        <v>140000</v>
      </c>
      <c r="E322" s="97">
        <f>INSUMOS!E232</f>
        <v>4</v>
      </c>
    </row>
    <row r="323" spans="1:6" x14ac:dyDescent="0.25">
      <c r="A323" s="77" t="s">
        <v>762</v>
      </c>
      <c r="B323" s="78">
        <f>INSUMOS!B415</f>
        <v>300000</v>
      </c>
      <c r="C323" s="98">
        <v>1</v>
      </c>
      <c r="D323" s="75">
        <f>C323*B323</f>
        <v>300000</v>
      </c>
      <c r="E323" s="105" t="s">
        <v>232</v>
      </c>
    </row>
    <row r="324" spans="1:6" x14ac:dyDescent="0.25">
      <c r="A324" s="77" t="s">
        <v>763</v>
      </c>
      <c r="B324" s="78">
        <f>INSUMOS!B327</f>
        <v>80000</v>
      </c>
      <c r="C324" s="98">
        <v>1</v>
      </c>
      <c r="D324" s="75">
        <f>C324*B324</f>
        <v>80000</v>
      </c>
      <c r="E324" s="105"/>
    </row>
    <row r="325" spans="1:6" x14ac:dyDescent="0.25">
      <c r="A325" s="82"/>
      <c r="B325" s="83"/>
      <c r="C325" s="113" t="s">
        <v>122</v>
      </c>
      <c r="D325" s="83">
        <f>SUM(D321:D324)</f>
        <v>820000</v>
      </c>
      <c r="E325" s="100">
        <f>SUM(E321:E324)</f>
        <v>39.4</v>
      </c>
    </row>
    <row r="328" spans="1:6" x14ac:dyDescent="0.25">
      <c r="A328" s="279" t="s">
        <v>764</v>
      </c>
      <c r="B328" s="279"/>
      <c r="C328" s="279"/>
      <c r="D328" s="279"/>
      <c r="E328" s="279"/>
    </row>
    <row r="329" spans="1:6" x14ac:dyDescent="0.25">
      <c r="A329" s="72" t="s">
        <v>92</v>
      </c>
      <c r="B329" s="72" t="s">
        <v>226</v>
      </c>
      <c r="C329" s="72" t="s">
        <v>227</v>
      </c>
      <c r="D329" s="72" t="s">
        <v>228</v>
      </c>
      <c r="E329" s="73" t="s">
        <v>229</v>
      </c>
    </row>
    <row r="330" spans="1:6" x14ac:dyDescent="0.25">
      <c r="A330" s="74" t="s">
        <v>765</v>
      </c>
      <c r="B330" s="75">
        <f>INSUMOS!B193</f>
        <v>1020000</v>
      </c>
      <c r="C330" s="103">
        <v>1</v>
      </c>
      <c r="D330" s="75">
        <f>C330*B330</f>
        <v>1020000</v>
      </c>
      <c r="E330" s="102">
        <f>INSUMOS!E193</f>
        <v>81.2</v>
      </c>
    </row>
    <row r="331" spans="1:6" x14ac:dyDescent="0.25">
      <c r="A331" s="77" t="s">
        <v>766</v>
      </c>
      <c r="B331" s="78">
        <f>INSUMOS!B235</f>
        <v>340000</v>
      </c>
      <c r="C331" s="98">
        <v>1</v>
      </c>
      <c r="D331" s="75">
        <f>C331*B331</f>
        <v>340000</v>
      </c>
      <c r="E331" s="97">
        <f>INSUMOS!E235</f>
        <v>8</v>
      </c>
    </row>
    <row r="332" spans="1:6" x14ac:dyDescent="0.25">
      <c r="A332" s="77" t="s">
        <v>767</v>
      </c>
      <c r="B332" s="78">
        <f>INSUMOS!B417</f>
        <v>476000</v>
      </c>
      <c r="C332" s="98">
        <v>1</v>
      </c>
      <c r="D332" s="75">
        <f>C332*B332</f>
        <v>476000</v>
      </c>
      <c r="E332" s="105" t="s">
        <v>232</v>
      </c>
    </row>
    <row r="333" spans="1:6" x14ac:dyDescent="0.25">
      <c r="A333" s="77" t="s">
        <v>768</v>
      </c>
      <c r="B333" s="78">
        <f>INSUMOS!B381</f>
        <v>260000</v>
      </c>
      <c r="C333" s="98">
        <v>1</v>
      </c>
      <c r="D333" s="75">
        <f>C333*B333</f>
        <v>260000</v>
      </c>
      <c r="E333" s="105"/>
    </row>
    <row r="334" spans="1:6" x14ac:dyDescent="0.25">
      <c r="A334" s="77" t="s">
        <v>769</v>
      </c>
      <c r="B334" s="78">
        <f>INSUMOS!B329</f>
        <v>120000</v>
      </c>
      <c r="C334" s="98">
        <v>1</v>
      </c>
      <c r="D334" s="75">
        <f>C334*B334</f>
        <v>120000</v>
      </c>
      <c r="E334" s="105"/>
    </row>
    <row r="335" spans="1:6" x14ac:dyDescent="0.25">
      <c r="A335" s="82"/>
      <c r="B335" s="83"/>
      <c r="C335" s="83" t="s">
        <v>122</v>
      </c>
      <c r="D335" s="83">
        <f>SUM(D330:D334)</f>
        <v>2216000</v>
      </c>
      <c r="E335" s="100">
        <f>SUM(E330:E334)</f>
        <v>89.2</v>
      </c>
    </row>
    <row r="339" spans="1:5" x14ac:dyDescent="0.25">
      <c r="A339" s="279" t="s">
        <v>770</v>
      </c>
      <c r="B339" s="279"/>
      <c r="C339" s="279"/>
      <c r="D339" s="279"/>
      <c r="E339" s="279"/>
    </row>
    <row r="340" spans="1:5" x14ac:dyDescent="0.25">
      <c r="A340" s="72" t="s">
        <v>92</v>
      </c>
      <c r="B340" s="72" t="s">
        <v>226</v>
      </c>
      <c r="C340" s="72" t="s">
        <v>227</v>
      </c>
      <c r="D340" s="72" t="s">
        <v>228</v>
      </c>
      <c r="E340" s="73" t="s">
        <v>229</v>
      </c>
    </row>
    <row r="341" spans="1:5" x14ac:dyDescent="0.25">
      <c r="A341" s="74" t="s">
        <v>771</v>
      </c>
      <c r="B341" s="75">
        <f>INSUMOS!B194</f>
        <v>1300000</v>
      </c>
      <c r="C341" s="103">
        <v>1</v>
      </c>
      <c r="D341" s="75">
        <f>C341*B341</f>
        <v>1300000</v>
      </c>
      <c r="E341" s="102">
        <f>INSUMOS!E194</f>
        <v>100.4</v>
      </c>
    </row>
    <row r="342" spans="1:5" x14ac:dyDescent="0.25">
      <c r="A342" s="77" t="s">
        <v>766</v>
      </c>
      <c r="B342" s="78">
        <f>INSUMOS!B235</f>
        <v>340000</v>
      </c>
      <c r="C342" s="98">
        <v>1</v>
      </c>
      <c r="D342" s="75">
        <f>C342*B342</f>
        <v>340000</v>
      </c>
      <c r="E342" s="97">
        <f>INSUMOS!E244</f>
        <v>8</v>
      </c>
    </row>
    <row r="343" spans="1:5" x14ac:dyDescent="0.25">
      <c r="A343" s="77" t="s">
        <v>772</v>
      </c>
      <c r="B343" s="78">
        <f>INSUMOS!B418</f>
        <v>560000</v>
      </c>
      <c r="C343" s="98">
        <v>1</v>
      </c>
      <c r="D343" s="75">
        <f>C343*B343</f>
        <v>560000</v>
      </c>
      <c r="E343" s="105" t="s">
        <v>232</v>
      </c>
    </row>
    <row r="344" spans="1:5" x14ac:dyDescent="0.25">
      <c r="A344" s="77" t="s">
        <v>773</v>
      </c>
      <c r="B344" s="78">
        <f>INSUMOS!B382</f>
        <v>330000</v>
      </c>
      <c r="C344" s="98">
        <v>1</v>
      </c>
      <c r="D344" s="75">
        <f>C344*B344</f>
        <v>330000</v>
      </c>
      <c r="E344" s="105"/>
    </row>
    <row r="345" spans="1:5" x14ac:dyDescent="0.25">
      <c r="A345" s="77" t="s">
        <v>774</v>
      </c>
      <c r="B345" s="78">
        <f>INSUMOS!B330</f>
        <v>140000</v>
      </c>
      <c r="C345" s="98">
        <v>1</v>
      </c>
      <c r="D345" s="75">
        <f>C345*B345</f>
        <v>140000</v>
      </c>
      <c r="E345" s="105"/>
    </row>
    <row r="346" spans="1:5" x14ac:dyDescent="0.25">
      <c r="A346" s="82"/>
      <c r="B346" s="83"/>
      <c r="C346" s="83" t="s">
        <v>122</v>
      </c>
      <c r="D346" s="83">
        <f>SUM(D341:D345)</f>
        <v>2670000</v>
      </c>
      <c r="E346" s="100">
        <f>SUM(E341:E345)</f>
        <v>108.4</v>
      </c>
    </row>
    <row r="349" spans="1:5" x14ac:dyDescent="0.25">
      <c r="A349" s="279" t="s">
        <v>775</v>
      </c>
      <c r="B349" s="279"/>
      <c r="C349" s="279"/>
      <c r="D349" s="279"/>
      <c r="E349" s="279"/>
    </row>
    <row r="350" spans="1:5" x14ac:dyDescent="0.25">
      <c r="A350" s="72" t="s">
        <v>92</v>
      </c>
      <c r="B350" s="72" t="s">
        <v>226</v>
      </c>
      <c r="C350" s="72" t="s">
        <v>227</v>
      </c>
      <c r="D350" s="72" t="s">
        <v>228</v>
      </c>
      <c r="E350" s="73" t="s">
        <v>229</v>
      </c>
    </row>
    <row r="351" spans="1:5" x14ac:dyDescent="0.25">
      <c r="A351" s="74" t="s">
        <v>776</v>
      </c>
      <c r="B351" s="75">
        <f>INSUMOS!B203</f>
        <v>100000</v>
      </c>
      <c r="C351" s="103">
        <v>1</v>
      </c>
      <c r="D351" s="75">
        <f>C351*B351</f>
        <v>100000</v>
      </c>
      <c r="E351" s="102">
        <f>INSUMOS!E203</f>
        <v>4.3</v>
      </c>
    </row>
    <row r="352" spans="1:5" x14ac:dyDescent="0.25">
      <c r="A352" s="77" t="s">
        <v>658</v>
      </c>
      <c r="B352" s="78">
        <f>INSUMOS!B5</f>
        <v>154000</v>
      </c>
      <c r="C352" s="98">
        <v>0.15</v>
      </c>
      <c r="D352" s="75">
        <f>C352*B352</f>
        <v>23100</v>
      </c>
      <c r="E352" s="97">
        <f>0.15*INSUMOS!E5</f>
        <v>2.3865922265492139</v>
      </c>
    </row>
    <row r="353" spans="1:5" x14ac:dyDescent="0.25">
      <c r="A353" s="77" t="s">
        <v>659</v>
      </c>
      <c r="B353" s="78">
        <f>INSUMOS!B297</f>
        <v>200000</v>
      </c>
      <c r="C353" s="98">
        <v>1</v>
      </c>
      <c r="D353" s="75">
        <f>C353*B353</f>
        <v>200000</v>
      </c>
      <c r="E353" s="112"/>
    </row>
    <row r="354" spans="1:5" x14ac:dyDescent="0.25">
      <c r="A354" s="77" t="s">
        <v>777</v>
      </c>
      <c r="B354" s="78">
        <f>INSUMOS!B422</f>
        <v>240000</v>
      </c>
      <c r="C354" s="98">
        <v>1</v>
      </c>
      <c r="D354" s="75">
        <f>C354*B354</f>
        <v>240000</v>
      </c>
      <c r="E354" s="105"/>
    </row>
    <row r="355" spans="1:5" x14ac:dyDescent="0.25">
      <c r="A355" s="77" t="s">
        <v>778</v>
      </c>
      <c r="B355" s="78">
        <f>INSUMOS!B334</f>
        <v>45000</v>
      </c>
      <c r="C355" s="98">
        <v>1</v>
      </c>
      <c r="D355" s="75">
        <f>C355*B355</f>
        <v>45000</v>
      </c>
      <c r="E355" s="105"/>
    </row>
    <row r="356" spans="1:5" x14ac:dyDescent="0.25">
      <c r="A356" s="82"/>
      <c r="B356" s="83"/>
      <c r="C356" s="83" t="s">
        <v>122</v>
      </c>
      <c r="D356" s="83">
        <f>SUM(D351:D355)</f>
        <v>608100</v>
      </c>
      <c r="E356" s="100">
        <f>SUM(E351:E355)</f>
        <v>6.6865922265492141</v>
      </c>
    </row>
    <row r="359" spans="1:5" x14ac:dyDescent="0.25">
      <c r="A359" s="279" t="s">
        <v>779</v>
      </c>
      <c r="B359" s="279"/>
      <c r="C359" s="279"/>
      <c r="D359" s="279"/>
      <c r="E359" s="279"/>
    </row>
    <row r="360" spans="1:5" x14ac:dyDescent="0.25">
      <c r="A360" s="72" t="s">
        <v>92</v>
      </c>
      <c r="B360" s="72" t="s">
        <v>93</v>
      </c>
      <c r="C360" s="72" t="s">
        <v>227</v>
      </c>
      <c r="D360" s="72" t="s">
        <v>228</v>
      </c>
      <c r="E360" s="114" t="s">
        <v>229</v>
      </c>
    </row>
    <row r="361" spans="1:5" x14ac:dyDescent="0.25">
      <c r="A361" s="74" t="s">
        <v>780</v>
      </c>
      <c r="B361" s="75">
        <f>INSUMOS!B192</f>
        <v>420000</v>
      </c>
      <c r="C361" s="103">
        <v>1</v>
      </c>
      <c r="D361" s="75">
        <f>C361*B361</f>
        <v>420000</v>
      </c>
      <c r="E361" s="102">
        <f>INSUMOS!E192</f>
        <v>62</v>
      </c>
    </row>
    <row r="362" spans="1:5" x14ac:dyDescent="0.25">
      <c r="A362" s="77" t="s">
        <v>781</v>
      </c>
      <c r="B362" s="78">
        <f>INSUMOS!B234</f>
        <v>310000</v>
      </c>
      <c r="C362" s="98">
        <v>1</v>
      </c>
      <c r="D362" s="75">
        <f>C362*B362</f>
        <v>310000</v>
      </c>
      <c r="E362" s="97">
        <f>INSUMOS!E234</f>
        <v>6</v>
      </c>
    </row>
    <row r="363" spans="1:5" x14ac:dyDescent="0.25">
      <c r="A363" s="77" t="s">
        <v>782</v>
      </c>
      <c r="B363" s="78">
        <f>INSUMOS!B416</f>
        <v>476000</v>
      </c>
      <c r="C363" s="98">
        <v>1</v>
      </c>
      <c r="D363" s="75">
        <f>C363*B363</f>
        <v>476000</v>
      </c>
      <c r="E363" s="112"/>
    </row>
    <row r="364" spans="1:5" x14ac:dyDescent="0.25">
      <c r="A364" s="77" t="s">
        <v>783</v>
      </c>
      <c r="B364" s="78">
        <f>INSUMOS!B380</f>
        <v>180000</v>
      </c>
      <c r="C364" s="98">
        <v>1</v>
      </c>
      <c r="D364" s="75">
        <f>C364*B364</f>
        <v>180000</v>
      </c>
      <c r="E364" s="105"/>
    </row>
    <row r="365" spans="1:5" x14ac:dyDescent="0.25">
      <c r="A365" s="77" t="s">
        <v>784</v>
      </c>
      <c r="B365" s="78">
        <f>INSUMOS!B328</f>
        <v>100000</v>
      </c>
      <c r="C365" s="98">
        <v>1</v>
      </c>
      <c r="D365" s="75">
        <f>C365*B365</f>
        <v>100000</v>
      </c>
      <c r="E365" s="105"/>
    </row>
    <row r="366" spans="1:5" x14ac:dyDescent="0.25">
      <c r="A366" s="82"/>
      <c r="B366" s="83"/>
      <c r="C366" s="83" t="s">
        <v>122</v>
      </c>
      <c r="D366" s="83">
        <f>SUM(D361:D365)</f>
        <v>1486000</v>
      </c>
      <c r="E366" s="100">
        <f>SUM(E361:E365)</f>
        <v>68</v>
      </c>
    </row>
    <row r="369" spans="1:5" x14ac:dyDescent="0.25">
      <c r="A369" s="279" t="s">
        <v>785</v>
      </c>
      <c r="B369" s="279"/>
      <c r="C369" s="279"/>
      <c r="D369" s="279"/>
      <c r="E369" s="279"/>
    </row>
    <row r="370" spans="1:5" x14ac:dyDescent="0.25">
      <c r="A370" s="72" t="s">
        <v>92</v>
      </c>
      <c r="B370" s="72" t="s">
        <v>93</v>
      </c>
      <c r="C370" s="72" t="s">
        <v>227</v>
      </c>
      <c r="D370" s="72" t="s">
        <v>228</v>
      </c>
      <c r="E370" s="73" t="s">
        <v>229</v>
      </c>
    </row>
    <row r="371" spans="1:5" x14ac:dyDescent="0.25">
      <c r="A371" s="74" t="s">
        <v>786</v>
      </c>
      <c r="B371" s="75">
        <f>INSUMOS!B170</f>
        <v>1690000</v>
      </c>
      <c r="C371" s="103">
        <v>1</v>
      </c>
      <c r="D371" s="75">
        <f t="shared" ref="D371:D376" si="0">C371*B371</f>
        <v>1690000</v>
      </c>
      <c r="E371" s="102">
        <f>INSUMOS!E170</f>
        <v>62</v>
      </c>
    </row>
    <row r="372" spans="1:5" x14ac:dyDescent="0.25">
      <c r="A372" s="77" t="s">
        <v>787</v>
      </c>
      <c r="B372" s="78">
        <f>INSUMOS!B217</f>
        <v>350000</v>
      </c>
      <c r="C372" s="98">
        <v>1</v>
      </c>
      <c r="D372" s="75">
        <f t="shared" si="0"/>
        <v>350000</v>
      </c>
      <c r="E372" s="97">
        <f>INSUMOS!E217</f>
        <v>8</v>
      </c>
    </row>
    <row r="373" spans="1:5" x14ac:dyDescent="0.25">
      <c r="A373" s="77" t="s">
        <v>788</v>
      </c>
      <c r="B373" s="78">
        <f>INSUMOS!B401</f>
        <v>135000</v>
      </c>
      <c r="C373" s="98">
        <v>1</v>
      </c>
      <c r="D373" s="75">
        <f t="shared" si="0"/>
        <v>135000</v>
      </c>
      <c r="E373" s="97"/>
    </row>
    <row r="374" spans="1:5" x14ac:dyDescent="0.25">
      <c r="A374" s="77" t="s">
        <v>789</v>
      </c>
      <c r="B374" s="78">
        <f>INSUMOS!B357</f>
        <v>680000</v>
      </c>
      <c r="C374" s="98">
        <v>1</v>
      </c>
      <c r="D374" s="75">
        <f t="shared" si="0"/>
        <v>680000</v>
      </c>
      <c r="E374" s="105" t="s">
        <v>232</v>
      </c>
    </row>
    <row r="375" spans="1:5" x14ac:dyDescent="0.25">
      <c r="A375" s="77" t="s">
        <v>790</v>
      </c>
      <c r="B375" s="78">
        <f>INSUMOS!B376</f>
        <v>480000</v>
      </c>
      <c r="C375" s="98">
        <v>1</v>
      </c>
      <c r="D375" s="75">
        <f t="shared" si="0"/>
        <v>480000</v>
      </c>
      <c r="E375" s="105"/>
    </row>
    <row r="376" spans="1:5" x14ac:dyDescent="0.25">
      <c r="A376" s="77" t="s">
        <v>791</v>
      </c>
      <c r="B376" s="78">
        <f>INSUMOS!B320</f>
        <v>180000</v>
      </c>
      <c r="C376" s="98">
        <v>1</v>
      </c>
      <c r="D376" s="75">
        <f t="shared" si="0"/>
        <v>180000</v>
      </c>
      <c r="E376" s="105"/>
    </row>
    <row r="377" spans="1:5" x14ac:dyDescent="0.25">
      <c r="A377" s="82"/>
      <c r="B377" s="83"/>
      <c r="C377" s="83" t="s">
        <v>122</v>
      </c>
      <c r="D377" s="83">
        <f>SUM(D371:D376)</f>
        <v>3515000</v>
      </c>
      <c r="E377" s="100">
        <f>SUM(E371:E376)</f>
        <v>70</v>
      </c>
    </row>
    <row r="379" spans="1:5" x14ac:dyDescent="0.25">
      <c r="A379" s="279" t="s">
        <v>792</v>
      </c>
      <c r="B379" s="279"/>
      <c r="C379" s="279"/>
      <c r="D379" s="279"/>
      <c r="E379" s="279"/>
    </row>
    <row r="380" spans="1:5" x14ac:dyDescent="0.25">
      <c r="A380" s="72" t="s">
        <v>92</v>
      </c>
      <c r="B380" s="72" t="s">
        <v>93</v>
      </c>
      <c r="C380" s="72" t="s">
        <v>227</v>
      </c>
      <c r="D380" s="72" t="s">
        <v>228</v>
      </c>
      <c r="E380" s="114" t="s">
        <v>229</v>
      </c>
    </row>
    <row r="381" spans="1:5" x14ac:dyDescent="0.25">
      <c r="A381" s="74" t="s">
        <v>786</v>
      </c>
      <c r="B381" s="75">
        <f>INSUMOS!B170</f>
        <v>1690000</v>
      </c>
      <c r="C381" s="103">
        <v>1</v>
      </c>
      <c r="D381" s="75">
        <f t="shared" ref="D381:D386" si="1">C381*B381</f>
        <v>1690000</v>
      </c>
      <c r="E381" s="102">
        <f>INSUMOS!E170</f>
        <v>62</v>
      </c>
    </row>
    <row r="382" spans="1:5" x14ac:dyDescent="0.25">
      <c r="A382" s="77" t="s">
        <v>793</v>
      </c>
      <c r="B382" s="78">
        <f>INSUMOS!B219</f>
        <v>700000</v>
      </c>
      <c r="C382" s="98">
        <v>1</v>
      </c>
      <c r="D382" s="75">
        <f t="shared" si="1"/>
        <v>700000</v>
      </c>
      <c r="E382" s="97">
        <f>INSUMOS!E219</f>
        <v>16</v>
      </c>
    </row>
    <row r="383" spans="1:5" x14ac:dyDescent="0.25">
      <c r="A383" s="77" t="s">
        <v>788</v>
      </c>
      <c r="B383" s="78">
        <f>INSUMOS!B401</f>
        <v>135000</v>
      </c>
      <c r="C383" s="98">
        <v>1</v>
      </c>
      <c r="D383" s="75">
        <f t="shared" si="1"/>
        <v>135000</v>
      </c>
      <c r="E383" s="97"/>
    </row>
    <row r="384" spans="1:5" x14ac:dyDescent="0.25">
      <c r="A384" s="77" t="s">
        <v>789</v>
      </c>
      <c r="B384" s="78">
        <f>INSUMOS!B357</f>
        <v>680000</v>
      </c>
      <c r="C384" s="98">
        <v>1</v>
      </c>
      <c r="D384" s="75">
        <f t="shared" si="1"/>
        <v>680000</v>
      </c>
      <c r="E384" s="105" t="s">
        <v>232</v>
      </c>
    </row>
    <row r="385" spans="1:5" x14ac:dyDescent="0.25">
      <c r="A385" s="77" t="s">
        <v>790</v>
      </c>
      <c r="B385" s="78">
        <f>INSUMOS!B376</f>
        <v>480000</v>
      </c>
      <c r="C385" s="98">
        <v>1</v>
      </c>
      <c r="D385" s="75">
        <f t="shared" si="1"/>
        <v>480000</v>
      </c>
      <c r="E385" s="105"/>
    </row>
    <row r="386" spans="1:5" x14ac:dyDescent="0.25">
      <c r="A386" s="77" t="s">
        <v>791</v>
      </c>
      <c r="B386" s="78">
        <f>INSUMOS!B320</f>
        <v>180000</v>
      </c>
      <c r="C386" s="98">
        <v>1</v>
      </c>
      <c r="D386" s="75">
        <f t="shared" si="1"/>
        <v>180000</v>
      </c>
      <c r="E386" s="105"/>
    </row>
    <row r="387" spans="1:5" x14ac:dyDescent="0.25">
      <c r="A387" s="82"/>
      <c r="B387" s="83"/>
      <c r="C387" s="83" t="s">
        <v>122</v>
      </c>
      <c r="D387" s="83">
        <f>SUM(D381:D386)</f>
        <v>3865000</v>
      </c>
      <c r="E387" s="100">
        <f>SUM(E381:E386)</f>
        <v>78</v>
      </c>
    </row>
    <row r="389" spans="1:5" x14ac:dyDescent="0.25">
      <c r="A389" s="279" t="s">
        <v>794</v>
      </c>
      <c r="B389" s="279"/>
      <c r="C389" s="279"/>
      <c r="D389" s="279"/>
      <c r="E389" s="279"/>
    </row>
    <row r="390" spans="1:5" x14ac:dyDescent="0.25">
      <c r="A390" s="72" t="s">
        <v>92</v>
      </c>
      <c r="B390" s="72" t="s">
        <v>93</v>
      </c>
      <c r="C390" s="72" t="s">
        <v>227</v>
      </c>
      <c r="D390" s="72" t="s">
        <v>228</v>
      </c>
      <c r="E390" s="114" t="s">
        <v>229</v>
      </c>
    </row>
    <row r="391" spans="1:5" x14ac:dyDescent="0.25">
      <c r="A391" s="74" t="s">
        <v>795</v>
      </c>
      <c r="B391" s="75">
        <f>INSUMOS!B183</f>
        <v>850000</v>
      </c>
      <c r="C391" s="103">
        <v>1</v>
      </c>
      <c r="D391" s="75">
        <f t="shared" ref="D391:D396" si="2">C391*B391</f>
        <v>850000</v>
      </c>
      <c r="E391" s="102">
        <f>INSUMOS!E183</f>
        <v>35</v>
      </c>
    </row>
    <row r="392" spans="1:5" x14ac:dyDescent="0.25">
      <c r="A392" s="77" t="s">
        <v>796</v>
      </c>
      <c r="B392" s="78">
        <f>INSUMOS!B231</f>
        <v>456000</v>
      </c>
      <c r="C392" s="98">
        <v>1</v>
      </c>
      <c r="D392" s="75">
        <f t="shared" si="2"/>
        <v>456000</v>
      </c>
      <c r="E392" s="97">
        <f>INSUMOS!E231</f>
        <v>16</v>
      </c>
    </row>
    <row r="393" spans="1:5" x14ac:dyDescent="0.25">
      <c r="A393" s="77" t="s">
        <v>797</v>
      </c>
      <c r="B393" s="78">
        <f>INSUMOS!B388</f>
        <v>50000</v>
      </c>
      <c r="C393" s="98">
        <v>1</v>
      </c>
      <c r="D393" s="75">
        <f t="shared" si="2"/>
        <v>50000</v>
      </c>
      <c r="E393" s="97"/>
    </row>
    <row r="394" spans="1:5" x14ac:dyDescent="0.25">
      <c r="A394" s="77" t="s">
        <v>798</v>
      </c>
      <c r="B394" s="78">
        <f>INSUMOS!B368</f>
        <v>550000</v>
      </c>
      <c r="C394" s="98">
        <v>1</v>
      </c>
      <c r="D394" s="75">
        <f t="shared" si="2"/>
        <v>550000</v>
      </c>
      <c r="E394" s="105" t="s">
        <v>232</v>
      </c>
    </row>
    <row r="395" spans="1:5" x14ac:dyDescent="0.25">
      <c r="A395" s="77" t="s">
        <v>799</v>
      </c>
      <c r="B395" s="78">
        <f>INSUMOS!B388</f>
        <v>50000</v>
      </c>
      <c r="C395" s="98">
        <v>1</v>
      </c>
      <c r="D395" s="75">
        <f t="shared" si="2"/>
        <v>50000</v>
      </c>
      <c r="E395" s="105"/>
    </row>
    <row r="396" spans="1:5" x14ac:dyDescent="0.25">
      <c r="A396" s="77" t="s">
        <v>800</v>
      </c>
      <c r="B396" s="78">
        <f>INSUMOS!B342</f>
        <v>160000</v>
      </c>
      <c r="C396" s="98">
        <v>1</v>
      </c>
      <c r="D396" s="75">
        <f t="shared" si="2"/>
        <v>160000</v>
      </c>
      <c r="E396" s="105"/>
    </row>
    <row r="397" spans="1:5" x14ac:dyDescent="0.25">
      <c r="A397" s="82"/>
      <c r="B397" s="83"/>
      <c r="C397" s="83" t="s">
        <v>122</v>
      </c>
      <c r="D397" s="83">
        <f>SUM(D391:D396)</f>
        <v>2116000</v>
      </c>
      <c r="E397" s="100">
        <f>SUM(E391:E396)</f>
        <v>51</v>
      </c>
    </row>
    <row r="399" spans="1:5" x14ac:dyDescent="0.25">
      <c r="A399" s="279" t="s">
        <v>801</v>
      </c>
      <c r="B399" s="279"/>
      <c r="C399" s="279"/>
      <c r="D399" s="279"/>
      <c r="E399" s="279"/>
    </row>
    <row r="400" spans="1:5" x14ac:dyDescent="0.25">
      <c r="A400" s="71" t="s">
        <v>92</v>
      </c>
      <c r="B400" s="72" t="s">
        <v>226</v>
      </c>
      <c r="C400" s="72" t="s">
        <v>227</v>
      </c>
      <c r="D400" s="72" t="s">
        <v>228</v>
      </c>
      <c r="E400" s="73" t="s">
        <v>229</v>
      </c>
    </row>
    <row r="401" spans="1:5" x14ac:dyDescent="0.25">
      <c r="A401" s="74" t="s">
        <v>746</v>
      </c>
      <c r="B401" s="75">
        <f>INSUMOS!B151</f>
        <v>205000</v>
      </c>
      <c r="C401" s="103">
        <v>1</v>
      </c>
      <c r="D401" s="75">
        <f>C401*B401</f>
        <v>205000</v>
      </c>
      <c r="E401" s="102">
        <f>INSUMOS!E151</f>
        <v>9.8000000000000007</v>
      </c>
    </row>
    <row r="402" spans="1:5" x14ac:dyDescent="0.25">
      <c r="A402" s="77" t="s">
        <v>802</v>
      </c>
      <c r="B402" s="78">
        <f>INSUMOS!B208</f>
        <v>260000</v>
      </c>
      <c r="C402" s="98">
        <v>1</v>
      </c>
      <c r="D402" s="75">
        <f>C402*B402</f>
        <v>260000</v>
      </c>
      <c r="E402" s="97">
        <f>INSUMOS!E208</f>
        <v>5</v>
      </c>
    </row>
    <row r="403" spans="1:5" x14ac:dyDescent="0.25">
      <c r="A403" s="77" t="s">
        <v>726</v>
      </c>
      <c r="B403" s="78">
        <f>INSUMOS!B352</f>
        <v>230000</v>
      </c>
      <c r="C403" s="98">
        <v>1</v>
      </c>
      <c r="D403" s="75">
        <f>C403*B403</f>
        <v>230000</v>
      </c>
      <c r="E403" s="105" t="s">
        <v>232</v>
      </c>
    </row>
    <row r="404" spans="1:5" x14ac:dyDescent="0.25">
      <c r="A404" s="77" t="s">
        <v>727</v>
      </c>
      <c r="B404" s="78">
        <f>INSUMOS!B315</f>
        <v>70000</v>
      </c>
      <c r="C404" s="98">
        <v>1</v>
      </c>
      <c r="D404" s="75">
        <f>C404*B404</f>
        <v>70000</v>
      </c>
      <c r="E404" s="105"/>
    </row>
    <row r="405" spans="1:5" x14ac:dyDescent="0.25">
      <c r="A405" s="82"/>
      <c r="B405" s="83"/>
      <c r="C405" s="113" t="s">
        <v>122</v>
      </c>
      <c r="D405" s="83">
        <f>SUM(D401:D404)</f>
        <v>765000</v>
      </c>
      <c r="E405" s="100">
        <f>SUM(E401:E404)</f>
        <v>14.8</v>
      </c>
    </row>
    <row r="407" spans="1:5" x14ac:dyDescent="0.25">
      <c r="A407" s="279" t="s">
        <v>803</v>
      </c>
      <c r="B407" s="279"/>
      <c r="C407" s="279"/>
      <c r="D407" s="279"/>
      <c r="E407" s="279"/>
    </row>
    <row r="408" spans="1:5" x14ac:dyDescent="0.25">
      <c r="A408" s="72" t="s">
        <v>92</v>
      </c>
      <c r="B408" s="72" t="s">
        <v>226</v>
      </c>
      <c r="C408" s="72" t="s">
        <v>227</v>
      </c>
      <c r="D408" s="72" t="s">
        <v>228</v>
      </c>
      <c r="E408" s="73" t="s">
        <v>229</v>
      </c>
    </row>
    <row r="409" spans="1:5" x14ac:dyDescent="0.25">
      <c r="A409" s="74" t="s">
        <v>740</v>
      </c>
      <c r="B409" s="75">
        <f>INSUMOS!B155</f>
        <v>1100000</v>
      </c>
      <c r="C409" s="103">
        <v>1</v>
      </c>
      <c r="D409" s="75">
        <f t="shared" ref="D409:D414" si="3">C409*B409</f>
        <v>1100000</v>
      </c>
      <c r="E409" s="102">
        <f>INSUMOS!E155</f>
        <v>42</v>
      </c>
    </row>
    <row r="410" spans="1:5" x14ac:dyDescent="0.25">
      <c r="A410" s="77" t="s">
        <v>804</v>
      </c>
      <c r="B410" s="78">
        <f>INSUMOS!B212</f>
        <v>550000</v>
      </c>
      <c r="C410" s="98">
        <v>1</v>
      </c>
      <c r="D410" s="75">
        <f t="shared" si="3"/>
        <v>550000</v>
      </c>
      <c r="E410" s="97">
        <f>INSUMOS!E212</f>
        <v>13</v>
      </c>
    </row>
    <row r="411" spans="1:5" x14ac:dyDescent="0.25">
      <c r="A411" s="77" t="s">
        <v>742</v>
      </c>
      <c r="B411" s="78">
        <f>INSUMOS!B356</f>
        <v>620000</v>
      </c>
      <c r="C411" s="98">
        <v>1</v>
      </c>
      <c r="D411" s="75">
        <f t="shared" si="3"/>
        <v>620000</v>
      </c>
      <c r="E411" s="105" t="s">
        <v>232</v>
      </c>
    </row>
    <row r="412" spans="1:5" x14ac:dyDescent="0.25">
      <c r="A412" s="77" t="s">
        <v>805</v>
      </c>
      <c r="B412" s="78">
        <f>INSUMOS!B400</f>
        <v>170000</v>
      </c>
      <c r="C412" s="98">
        <v>1</v>
      </c>
      <c r="D412" s="75">
        <f t="shared" si="3"/>
        <v>170000</v>
      </c>
      <c r="E412" s="105"/>
    </row>
    <row r="413" spans="1:5" x14ac:dyDescent="0.25">
      <c r="A413" s="77" t="s">
        <v>743</v>
      </c>
      <c r="B413" s="78">
        <f>INSUMOS!B375</f>
        <v>330000</v>
      </c>
      <c r="C413" s="98">
        <v>1</v>
      </c>
      <c r="D413" s="75">
        <f t="shared" si="3"/>
        <v>330000</v>
      </c>
      <c r="E413" s="105"/>
    </row>
    <row r="414" spans="1:5" x14ac:dyDescent="0.25">
      <c r="A414" s="77" t="s">
        <v>744</v>
      </c>
      <c r="B414" s="78">
        <f>INSUMOS!B319</f>
        <v>150000</v>
      </c>
      <c r="C414" s="98">
        <v>1</v>
      </c>
      <c r="D414" s="75">
        <f t="shared" si="3"/>
        <v>150000</v>
      </c>
      <c r="E414" s="105"/>
    </row>
    <row r="415" spans="1:5" x14ac:dyDescent="0.25">
      <c r="A415" s="82"/>
      <c r="B415" s="83"/>
      <c r="C415" s="83" t="s">
        <v>122</v>
      </c>
      <c r="D415" s="83">
        <f>SUM(D409:D414)</f>
        <v>2920000</v>
      </c>
      <c r="E415" s="100">
        <f>SUM(E409:E414)</f>
        <v>55</v>
      </c>
    </row>
    <row r="417" spans="1:5" x14ac:dyDescent="0.25">
      <c r="A417" s="279" t="s">
        <v>806</v>
      </c>
      <c r="B417" s="279"/>
      <c r="C417" s="279"/>
      <c r="D417" s="279"/>
      <c r="E417" s="279"/>
    </row>
    <row r="418" spans="1:5" x14ac:dyDescent="0.25">
      <c r="A418" s="72" t="s">
        <v>92</v>
      </c>
      <c r="B418" s="72" t="s">
        <v>226</v>
      </c>
      <c r="C418" s="72" t="s">
        <v>227</v>
      </c>
      <c r="D418" s="72" t="s">
        <v>228</v>
      </c>
      <c r="E418" s="73" t="s">
        <v>229</v>
      </c>
    </row>
    <row r="419" spans="1:5" x14ac:dyDescent="0.25">
      <c r="A419" s="74" t="s">
        <v>807</v>
      </c>
      <c r="B419" s="75">
        <f>INSUMOS!B169</f>
        <v>1430000</v>
      </c>
      <c r="C419" s="103">
        <v>1</v>
      </c>
      <c r="D419" s="75">
        <f t="shared" ref="D419:D424" si="4">C419*B419</f>
        <v>1430000</v>
      </c>
      <c r="E419" s="102">
        <f>INSUMOS!E169</f>
        <v>42</v>
      </c>
    </row>
    <row r="420" spans="1:5" x14ac:dyDescent="0.25">
      <c r="A420" s="77" t="s">
        <v>808</v>
      </c>
      <c r="B420" s="78">
        <f>INSUMOS!B218</f>
        <v>600000</v>
      </c>
      <c r="C420" s="98">
        <v>1</v>
      </c>
      <c r="D420" s="75">
        <f t="shared" si="4"/>
        <v>600000</v>
      </c>
      <c r="E420" s="97">
        <f>INSUMOS!E244</f>
        <v>8</v>
      </c>
    </row>
    <row r="421" spans="1:5" x14ac:dyDescent="0.25">
      <c r="A421" s="77" t="s">
        <v>742</v>
      </c>
      <c r="B421" s="78">
        <f>INSUMOS!B356</f>
        <v>620000</v>
      </c>
      <c r="C421" s="98">
        <v>1</v>
      </c>
      <c r="D421" s="75">
        <f t="shared" si="4"/>
        <v>620000</v>
      </c>
      <c r="E421" s="105" t="s">
        <v>232</v>
      </c>
    </row>
    <row r="422" spans="1:5" x14ac:dyDescent="0.25">
      <c r="A422" s="77" t="s">
        <v>805</v>
      </c>
      <c r="B422" s="78">
        <f>INSUMOS!B400</f>
        <v>170000</v>
      </c>
      <c r="C422" s="98">
        <v>1</v>
      </c>
      <c r="D422" s="75">
        <f t="shared" si="4"/>
        <v>170000</v>
      </c>
      <c r="E422" s="105"/>
    </row>
    <row r="423" spans="1:5" x14ac:dyDescent="0.25">
      <c r="A423" s="77" t="s">
        <v>743</v>
      </c>
      <c r="B423" s="78">
        <f>INSUMOS!B375</f>
        <v>330000</v>
      </c>
      <c r="C423" s="98">
        <v>1</v>
      </c>
      <c r="D423" s="75">
        <f t="shared" si="4"/>
        <v>330000</v>
      </c>
      <c r="E423" s="105"/>
    </row>
    <row r="424" spans="1:5" x14ac:dyDescent="0.25">
      <c r="A424" s="77" t="s">
        <v>744</v>
      </c>
      <c r="B424" s="78">
        <f>INSUMOS!B319</f>
        <v>150000</v>
      </c>
      <c r="C424" s="98">
        <v>1</v>
      </c>
      <c r="D424" s="75">
        <f t="shared" si="4"/>
        <v>150000</v>
      </c>
      <c r="E424" s="105"/>
    </row>
    <row r="425" spans="1:5" x14ac:dyDescent="0.25">
      <c r="A425" s="82"/>
      <c r="B425" s="83"/>
      <c r="C425" s="83" t="s">
        <v>122</v>
      </c>
      <c r="D425" s="83">
        <f>SUM(D419:D424)</f>
        <v>3300000</v>
      </c>
      <c r="E425" s="100">
        <f>SUM(E419:E424)</f>
        <v>50</v>
      </c>
    </row>
    <row r="427" spans="1:5" x14ac:dyDescent="0.25">
      <c r="A427" s="279" t="s">
        <v>809</v>
      </c>
      <c r="B427" s="279"/>
      <c r="C427" s="279"/>
      <c r="D427" s="279"/>
      <c r="E427" s="279"/>
    </row>
    <row r="428" spans="1:5" x14ac:dyDescent="0.25">
      <c r="A428" s="72" t="s">
        <v>92</v>
      </c>
      <c r="B428" s="72" t="s">
        <v>226</v>
      </c>
      <c r="C428" s="72" t="s">
        <v>227</v>
      </c>
      <c r="D428" s="72" t="s">
        <v>228</v>
      </c>
      <c r="E428" s="73" t="s">
        <v>229</v>
      </c>
    </row>
    <row r="429" spans="1:5" x14ac:dyDescent="0.25">
      <c r="A429" s="74" t="s">
        <v>776</v>
      </c>
      <c r="B429" s="75">
        <f>INSUMOS!B203</f>
        <v>100000</v>
      </c>
      <c r="C429" s="103">
        <v>1</v>
      </c>
      <c r="D429" s="75">
        <f>C429*B429</f>
        <v>100000</v>
      </c>
      <c r="E429" s="102">
        <f>INSUMOS!E203</f>
        <v>4.3</v>
      </c>
    </row>
    <row r="430" spans="1:5" x14ac:dyDescent="0.25">
      <c r="A430" s="77" t="s">
        <v>649</v>
      </c>
      <c r="B430" s="78">
        <f>INSUMOS!B4</f>
        <v>87000</v>
      </c>
      <c r="C430" s="98">
        <v>0.15</v>
      </c>
      <c r="D430" s="75">
        <f>C430*B430</f>
        <v>13050</v>
      </c>
      <c r="E430" s="97">
        <f>0.15*INSUMOS!E4</f>
        <v>1.3424581274339329</v>
      </c>
    </row>
    <row r="431" spans="1:5" x14ac:dyDescent="0.25">
      <c r="A431" s="77" t="s">
        <v>650</v>
      </c>
      <c r="B431" s="78">
        <f>INSUMOS!B296</f>
        <v>178200</v>
      </c>
      <c r="C431" s="98">
        <v>1</v>
      </c>
      <c r="D431" s="75">
        <f>C431*B431</f>
        <v>178200</v>
      </c>
      <c r="E431" s="112"/>
    </row>
    <row r="432" spans="1:5" x14ac:dyDescent="0.25">
      <c r="A432" s="77" t="s">
        <v>777</v>
      </c>
      <c r="B432" s="78">
        <f>INSUMOS!B422</f>
        <v>240000</v>
      </c>
      <c r="C432" s="98">
        <v>1</v>
      </c>
      <c r="D432" s="75">
        <f>C432*B432</f>
        <v>240000</v>
      </c>
      <c r="E432" s="105"/>
    </row>
    <row r="433" spans="1:5" x14ac:dyDescent="0.25">
      <c r="A433" s="77" t="s">
        <v>778</v>
      </c>
      <c r="B433" s="78">
        <f>INSUMOS!B334</f>
        <v>45000</v>
      </c>
      <c r="C433" s="98">
        <v>1</v>
      </c>
      <c r="D433" s="75">
        <f>C433*B433</f>
        <v>45000</v>
      </c>
      <c r="E433" s="105"/>
    </row>
    <row r="434" spans="1:5" x14ac:dyDescent="0.25">
      <c r="A434" s="82"/>
      <c r="B434" s="83"/>
      <c r="C434" s="83" t="s">
        <v>122</v>
      </c>
      <c r="D434" s="83">
        <f>SUM(D429:D433)</f>
        <v>576250</v>
      </c>
      <c r="E434" s="100">
        <f>SUM(E429:E433)</f>
        <v>5.6424581274339332</v>
      </c>
    </row>
    <row r="436" spans="1:5" x14ac:dyDescent="0.25">
      <c r="A436" s="279" t="s">
        <v>810</v>
      </c>
      <c r="B436" s="279"/>
      <c r="C436" s="279"/>
      <c r="D436" s="279"/>
      <c r="E436" s="279"/>
    </row>
    <row r="437" spans="1:5" x14ac:dyDescent="0.25">
      <c r="A437" s="72" t="s">
        <v>92</v>
      </c>
      <c r="B437" s="72" t="s">
        <v>226</v>
      </c>
      <c r="C437" s="72" t="s">
        <v>227</v>
      </c>
      <c r="D437" s="72" t="s">
        <v>228</v>
      </c>
      <c r="E437" s="73" t="s">
        <v>229</v>
      </c>
    </row>
    <row r="438" spans="1:5" x14ac:dyDescent="0.25">
      <c r="A438" s="74" t="s">
        <v>811</v>
      </c>
      <c r="B438" s="75">
        <f>INSUMOS!B153</f>
        <v>350000</v>
      </c>
      <c r="C438" s="103">
        <v>1</v>
      </c>
      <c r="D438" s="75">
        <f>C438*B438</f>
        <v>350000</v>
      </c>
      <c r="E438" s="102">
        <f>INSUMOS!E153</f>
        <v>22.5</v>
      </c>
    </row>
    <row r="439" spans="1:5" x14ac:dyDescent="0.25">
      <c r="A439" s="77" t="s">
        <v>686</v>
      </c>
      <c r="B439" s="78">
        <f>INSUMOS!B210</f>
        <v>325000</v>
      </c>
      <c r="C439" s="98">
        <v>1</v>
      </c>
      <c r="D439" s="75">
        <f>C439*B439</f>
        <v>325000</v>
      </c>
      <c r="E439" s="97">
        <f>INSUMOS!E210</f>
        <v>8</v>
      </c>
    </row>
    <row r="440" spans="1:5" x14ac:dyDescent="0.25">
      <c r="A440" s="77" t="s">
        <v>736</v>
      </c>
      <c r="B440" s="78">
        <f>INSUMOS!B354</f>
        <v>530000</v>
      </c>
      <c r="C440" s="98">
        <v>1</v>
      </c>
      <c r="D440" s="75">
        <f>C440*B440</f>
        <v>530000</v>
      </c>
      <c r="E440" s="105" t="s">
        <v>232</v>
      </c>
    </row>
    <row r="441" spans="1:5" x14ac:dyDescent="0.25">
      <c r="A441" s="77"/>
      <c r="B441" s="78"/>
      <c r="C441" s="98">
        <v>0</v>
      </c>
      <c r="D441" s="75">
        <f>C441*B441</f>
        <v>0</v>
      </c>
      <c r="E441" s="105"/>
    </row>
    <row r="442" spans="1:5" x14ac:dyDescent="0.25">
      <c r="A442" s="77" t="s">
        <v>737</v>
      </c>
      <c r="B442" s="78">
        <f>INSUMOS!B317</f>
        <v>100000</v>
      </c>
      <c r="C442" s="98">
        <v>1</v>
      </c>
      <c r="D442" s="75">
        <f>C442*B442</f>
        <v>100000</v>
      </c>
      <c r="E442" s="105"/>
    </row>
    <row r="443" spans="1:5" x14ac:dyDescent="0.25">
      <c r="A443" s="82"/>
      <c r="B443" s="83"/>
      <c r="C443" s="83" t="s">
        <v>122</v>
      </c>
      <c r="D443" s="83">
        <f>SUM(D438:D442)</f>
        <v>1305000</v>
      </c>
      <c r="E443" s="100">
        <f>SUM(E438:E442)</f>
        <v>30.5</v>
      </c>
    </row>
    <row r="445" spans="1:5" x14ac:dyDescent="0.25">
      <c r="A445" s="279" t="s">
        <v>812</v>
      </c>
      <c r="B445" s="279"/>
      <c r="C445" s="279"/>
      <c r="D445" s="279"/>
      <c r="E445" s="279"/>
    </row>
    <row r="446" spans="1:5" x14ac:dyDescent="0.25">
      <c r="A446" s="72" t="s">
        <v>92</v>
      </c>
      <c r="B446" s="72" t="s">
        <v>226</v>
      </c>
      <c r="C446" s="72" t="s">
        <v>227</v>
      </c>
      <c r="D446" s="72" t="s">
        <v>228</v>
      </c>
      <c r="E446" s="73" t="s">
        <v>229</v>
      </c>
    </row>
    <row r="447" spans="1:5" x14ac:dyDescent="0.25">
      <c r="A447" s="74" t="s">
        <v>813</v>
      </c>
      <c r="B447" s="75">
        <f>INSUMOS!B162</f>
        <v>168000</v>
      </c>
      <c r="C447" s="103">
        <v>1</v>
      </c>
      <c r="D447" s="75">
        <f>C447*B447</f>
        <v>168000</v>
      </c>
      <c r="E447" s="102">
        <f>C447*INSUMOS!E148</f>
        <v>3.2</v>
      </c>
    </row>
    <row r="448" spans="1:5" x14ac:dyDescent="0.25">
      <c r="A448" s="77" t="s">
        <v>814</v>
      </c>
      <c r="B448" s="78">
        <f>INSUMOS!B15</f>
        <v>140000</v>
      </c>
      <c r="C448" s="98">
        <v>0.15</v>
      </c>
      <c r="D448" s="75">
        <f>C448*B448</f>
        <v>21000</v>
      </c>
      <c r="E448" s="97">
        <f>C448*INSUMOS!E15</f>
        <v>1.3424581274339329</v>
      </c>
    </row>
    <row r="449" spans="1:5" x14ac:dyDescent="0.25">
      <c r="A449" s="77" t="s">
        <v>650</v>
      </c>
      <c r="B449" s="78">
        <f>INSUMOS!B296</f>
        <v>178200</v>
      </c>
      <c r="C449" s="98">
        <v>1</v>
      </c>
      <c r="D449" s="75">
        <f>C449*B449</f>
        <v>178200</v>
      </c>
      <c r="E449" s="105"/>
    </row>
    <row r="450" spans="1:5" x14ac:dyDescent="0.25">
      <c r="A450" s="77" t="s">
        <v>692</v>
      </c>
      <c r="B450" s="78">
        <f>INSUMOS!B349</f>
        <v>120000</v>
      </c>
      <c r="C450" s="98">
        <v>1</v>
      </c>
      <c r="D450" s="75">
        <f>C450*B450</f>
        <v>120000</v>
      </c>
      <c r="E450" s="105"/>
    </row>
    <row r="451" spans="1:5" x14ac:dyDescent="0.25">
      <c r="A451" s="77" t="s">
        <v>693</v>
      </c>
      <c r="B451" s="78">
        <f>INSUMOS!B312</f>
        <v>45000</v>
      </c>
      <c r="C451" s="98">
        <v>1</v>
      </c>
      <c r="D451" s="75">
        <f>C451*B451</f>
        <v>45000</v>
      </c>
      <c r="E451" s="105"/>
    </row>
    <row r="452" spans="1:5" x14ac:dyDescent="0.25">
      <c r="A452" s="82"/>
      <c r="B452" s="83"/>
      <c r="C452" s="83" t="s">
        <v>122</v>
      </c>
      <c r="D452" s="83">
        <f>SUM(D447:D451)</f>
        <v>532200</v>
      </c>
      <c r="E452" s="100">
        <f>SUM(E447:E451)</f>
        <v>4.5424581274339335</v>
      </c>
    </row>
    <row r="454" spans="1:5" x14ac:dyDescent="0.25">
      <c r="A454" s="279" t="s">
        <v>815</v>
      </c>
      <c r="B454" s="279"/>
      <c r="C454" s="279"/>
      <c r="D454" s="279"/>
      <c r="E454" s="279"/>
    </row>
    <row r="455" spans="1:5" x14ac:dyDescent="0.25">
      <c r="A455" s="72" t="s">
        <v>92</v>
      </c>
      <c r="B455" s="72" t="s">
        <v>226</v>
      </c>
      <c r="C455" s="72" t="s">
        <v>227</v>
      </c>
      <c r="D455" s="72" t="s">
        <v>228</v>
      </c>
      <c r="E455" s="73" t="s">
        <v>229</v>
      </c>
    </row>
    <row r="456" spans="1:5" x14ac:dyDescent="0.25">
      <c r="A456" s="74" t="s">
        <v>816</v>
      </c>
      <c r="B456" s="75">
        <f>INSUMOS!B161</f>
        <v>147000</v>
      </c>
      <c r="C456" s="103">
        <v>1</v>
      </c>
      <c r="D456" s="75">
        <f>C456*B456</f>
        <v>147000</v>
      </c>
      <c r="E456" s="102">
        <f>INSUMOS!E161</f>
        <v>1.6</v>
      </c>
    </row>
    <row r="457" spans="1:5" x14ac:dyDescent="0.25">
      <c r="A457" s="77" t="s">
        <v>814</v>
      </c>
      <c r="B457" s="78">
        <f>INSUMOS!B15</f>
        <v>140000</v>
      </c>
      <c r="C457" s="98">
        <v>0.15</v>
      </c>
      <c r="D457" s="75">
        <f>C457*B457</f>
        <v>21000</v>
      </c>
      <c r="E457" s="97">
        <f>C457*INSUMOS!E15</f>
        <v>1.3424581274339329</v>
      </c>
    </row>
    <row r="458" spans="1:5" x14ac:dyDescent="0.25">
      <c r="A458" s="77" t="s">
        <v>650</v>
      </c>
      <c r="B458" s="78">
        <f>INSUMOS!B296</f>
        <v>178200</v>
      </c>
      <c r="C458" s="98">
        <v>1</v>
      </c>
      <c r="D458" s="75">
        <f>C458*B458</f>
        <v>178200</v>
      </c>
      <c r="E458" s="105"/>
    </row>
    <row r="459" spans="1:5" x14ac:dyDescent="0.25">
      <c r="A459" s="77" t="s">
        <v>682</v>
      </c>
      <c r="B459" s="78">
        <f>INSUMOS!B348</f>
        <v>120000</v>
      </c>
      <c r="C459" s="98">
        <v>1</v>
      </c>
      <c r="D459" s="75">
        <f>C459*B459</f>
        <v>120000</v>
      </c>
      <c r="E459" s="105"/>
    </row>
    <row r="460" spans="1:5" x14ac:dyDescent="0.25">
      <c r="A460" s="77" t="s">
        <v>683</v>
      </c>
      <c r="B460" s="78">
        <f>INSUMOS!B311</f>
        <v>35000</v>
      </c>
      <c r="C460" s="98">
        <v>1</v>
      </c>
      <c r="D460" s="75">
        <f>C460*B460</f>
        <v>35000</v>
      </c>
      <c r="E460" s="105"/>
    </row>
    <row r="461" spans="1:5" x14ac:dyDescent="0.25">
      <c r="A461" s="82"/>
      <c r="B461" s="83"/>
      <c r="C461" s="83" t="s">
        <v>122</v>
      </c>
      <c r="D461" s="83">
        <f>SUM(D456:D460)</f>
        <v>501200</v>
      </c>
      <c r="E461" s="100">
        <f>SUM(E456:E460)</f>
        <v>2.942458127433933</v>
      </c>
    </row>
    <row r="463" spans="1:5" x14ac:dyDescent="0.25">
      <c r="A463" s="279" t="s">
        <v>817</v>
      </c>
      <c r="B463" s="279"/>
      <c r="C463" s="279"/>
      <c r="D463" s="279"/>
      <c r="E463" s="279"/>
    </row>
    <row r="464" spans="1:5" x14ac:dyDescent="0.25">
      <c r="A464" s="72" t="s">
        <v>92</v>
      </c>
      <c r="B464" s="72" t="s">
        <v>226</v>
      </c>
      <c r="C464" s="72" t="s">
        <v>227</v>
      </c>
      <c r="D464" s="72" t="s">
        <v>228</v>
      </c>
      <c r="E464" s="73" t="s">
        <v>229</v>
      </c>
    </row>
    <row r="465" spans="1:5" x14ac:dyDescent="0.25">
      <c r="A465" s="74" t="s">
        <v>807</v>
      </c>
      <c r="B465" s="75">
        <f>INSUMOS!B169</f>
        <v>1430000</v>
      </c>
      <c r="C465" s="103">
        <v>1</v>
      </c>
      <c r="D465" s="75">
        <f t="shared" ref="D465:D470" si="5">C465*B465</f>
        <v>1430000</v>
      </c>
      <c r="E465" s="102">
        <f>INSUMOS!E169</f>
        <v>42</v>
      </c>
    </row>
    <row r="466" spans="1:5" x14ac:dyDescent="0.25">
      <c r="A466" s="77" t="s">
        <v>818</v>
      </c>
      <c r="B466" s="78">
        <f>INSUMOS!B217</f>
        <v>350000</v>
      </c>
      <c r="C466" s="98">
        <v>1</v>
      </c>
      <c r="D466" s="75">
        <f t="shared" si="5"/>
        <v>350000</v>
      </c>
      <c r="E466" s="97">
        <f>INSUMOS!E218</f>
        <v>13</v>
      </c>
    </row>
    <row r="467" spans="1:5" x14ac:dyDescent="0.25">
      <c r="A467" s="77" t="s">
        <v>742</v>
      </c>
      <c r="B467" s="78">
        <f>INSUMOS!B356</f>
        <v>620000</v>
      </c>
      <c r="C467" s="98">
        <v>1</v>
      </c>
      <c r="D467" s="75">
        <f t="shared" si="5"/>
        <v>620000</v>
      </c>
      <c r="E467" s="105" t="s">
        <v>232</v>
      </c>
    </row>
    <row r="468" spans="1:5" x14ac:dyDescent="0.25">
      <c r="A468" s="77" t="s">
        <v>819</v>
      </c>
      <c r="B468" s="78">
        <f>INSUMOS!B399</f>
        <v>90000</v>
      </c>
      <c r="C468" s="98">
        <v>1</v>
      </c>
      <c r="D468" s="75">
        <f t="shared" si="5"/>
        <v>90000</v>
      </c>
      <c r="E468" s="105"/>
    </row>
    <row r="469" spans="1:5" x14ac:dyDescent="0.25">
      <c r="A469" s="77" t="s">
        <v>743</v>
      </c>
      <c r="B469" s="78">
        <f>INSUMOS!B375</f>
        <v>330000</v>
      </c>
      <c r="C469" s="98">
        <v>1</v>
      </c>
      <c r="D469" s="75">
        <f t="shared" si="5"/>
        <v>330000</v>
      </c>
      <c r="E469" s="105"/>
    </row>
    <row r="470" spans="1:5" x14ac:dyDescent="0.25">
      <c r="A470" s="77" t="s">
        <v>744</v>
      </c>
      <c r="B470" s="78">
        <f>INSUMOS!B319</f>
        <v>150000</v>
      </c>
      <c r="C470" s="98">
        <v>1</v>
      </c>
      <c r="D470" s="75">
        <f t="shared" si="5"/>
        <v>150000</v>
      </c>
      <c r="E470" s="105"/>
    </row>
    <row r="471" spans="1:5" x14ac:dyDescent="0.25">
      <c r="A471" s="82"/>
      <c r="B471" s="83"/>
      <c r="C471" s="83" t="s">
        <v>122</v>
      </c>
      <c r="D471" s="83">
        <f>SUM(D465:D470)</f>
        <v>2970000</v>
      </c>
      <c r="E471" s="100">
        <f>SUM(E465:E470)</f>
        <v>55</v>
      </c>
    </row>
    <row r="473" spans="1:5" x14ac:dyDescent="0.25">
      <c r="A473" s="279" t="s">
        <v>820</v>
      </c>
      <c r="B473" s="279"/>
      <c r="C473" s="279"/>
      <c r="D473" s="279"/>
      <c r="E473" s="279"/>
    </row>
    <row r="474" spans="1:5" x14ac:dyDescent="0.25">
      <c r="A474" s="72" t="s">
        <v>92</v>
      </c>
      <c r="B474" s="72" t="s">
        <v>226</v>
      </c>
      <c r="C474" s="72" t="s">
        <v>227</v>
      </c>
      <c r="D474" s="72" t="s">
        <v>228</v>
      </c>
      <c r="E474" s="73" t="s">
        <v>229</v>
      </c>
    </row>
    <row r="475" spans="1:5" x14ac:dyDescent="0.25">
      <c r="A475" s="74" t="s">
        <v>821</v>
      </c>
      <c r="B475" s="75">
        <f>INSUMOS!B168</f>
        <v>1105000</v>
      </c>
      <c r="C475" s="103">
        <v>1</v>
      </c>
      <c r="D475" s="75">
        <f>C475*B475</f>
        <v>1105000</v>
      </c>
      <c r="E475" s="102">
        <f>INSUMOS!E168</f>
        <v>28.5</v>
      </c>
    </row>
    <row r="476" spans="1:5" x14ac:dyDescent="0.25">
      <c r="A476" s="77" t="s">
        <v>818</v>
      </c>
      <c r="B476" s="78">
        <f>INSUMOS!B217</f>
        <v>350000</v>
      </c>
      <c r="C476" s="98">
        <v>1</v>
      </c>
      <c r="D476" s="75">
        <f>C476*B476</f>
        <v>350000</v>
      </c>
      <c r="E476" s="97">
        <f>INSUMOS!E217</f>
        <v>8</v>
      </c>
    </row>
    <row r="477" spans="1:5" x14ac:dyDescent="0.25">
      <c r="A477" s="77" t="s">
        <v>687</v>
      </c>
      <c r="B477" s="78">
        <f>INSUMOS!B355</f>
        <v>600000</v>
      </c>
      <c r="C477" s="98">
        <v>1</v>
      </c>
      <c r="D477" s="75">
        <f>C477*B477</f>
        <v>600000</v>
      </c>
      <c r="E477" s="105" t="s">
        <v>232</v>
      </c>
    </row>
    <row r="478" spans="1:5" x14ac:dyDescent="0.25">
      <c r="A478" s="77" t="s">
        <v>688</v>
      </c>
      <c r="B478" s="78">
        <f>INSUMOS!B355</f>
        <v>600000</v>
      </c>
      <c r="C478" s="98">
        <v>1</v>
      </c>
      <c r="D478" s="75">
        <f>C478*B478</f>
        <v>600000</v>
      </c>
      <c r="E478" s="105"/>
    </row>
    <row r="479" spans="1:5" x14ac:dyDescent="0.25">
      <c r="A479" s="77" t="s">
        <v>689</v>
      </c>
      <c r="B479" s="78">
        <f>INSUMOS!B318</f>
        <v>120000</v>
      </c>
      <c r="C479" s="98">
        <v>1</v>
      </c>
      <c r="D479" s="75">
        <f>C479*B479</f>
        <v>120000</v>
      </c>
      <c r="E479" s="105"/>
    </row>
    <row r="480" spans="1:5" x14ac:dyDescent="0.25">
      <c r="A480" s="82"/>
      <c r="B480" s="83"/>
      <c r="C480" s="83" t="s">
        <v>122</v>
      </c>
      <c r="D480" s="83">
        <f>SUM(D475:D479)</f>
        <v>2775000</v>
      </c>
      <c r="E480" s="100">
        <f>SUM(E475:E479)</f>
        <v>36.5</v>
      </c>
    </row>
    <row r="482" spans="1:5" x14ac:dyDescent="0.25">
      <c r="A482" s="279" t="s">
        <v>822</v>
      </c>
      <c r="B482" s="279"/>
      <c r="C482" s="279"/>
      <c r="D482" s="279"/>
      <c r="E482" s="279"/>
    </row>
    <row r="483" spans="1:5" x14ac:dyDescent="0.25">
      <c r="A483" s="72" t="s">
        <v>92</v>
      </c>
      <c r="B483" s="72" t="s">
        <v>93</v>
      </c>
      <c r="C483" s="72" t="s">
        <v>227</v>
      </c>
      <c r="D483" s="72" t="s">
        <v>228</v>
      </c>
      <c r="E483" s="73" t="s">
        <v>229</v>
      </c>
    </row>
    <row r="484" spans="1:5" x14ac:dyDescent="0.25">
      <c r="A484" s="74" t="s">
        <v>786</v>
      </c>
      <c r="B484" s="75">
        <f>INSUMOS!B170</f>
        <v>1690000</v>
      </c>
      <c r="C484" s="103">
        <v>1</v>
      </c>
      <c r="D484" s="75">
        <f>C484*B484</f>
        <v>1690000</v>
      </c>
      <c r="E484" s="102">
        <f>INSUMOS!E170</f>
        <v>62</v>
      </c>
    </row>
    <row r="485" spans="1:5" x14ac:dyDescent="0.25">
      <c r="A485" s="77" t="s">
        <v>823</v>
      </c>
      <c r="B485" s="78">
        <f>INSUMOS!B215</f>
        <v>280000</v>
      </c>
      <c r="C485" s="98">
        <v>1</v>
      </c>
      <c r="D485" s="75">
        <f>C485*B485</f>
        <v>280000</v>
      </c>
      <c r="E485" s="97">
        <f>INSUMOS!E215</f>
        <v>5</v>
      </c>
    </row>
    <row r="486" spans="1:5" x14ac:dyDescent="0.25">
      <c r="A486" s="77" t="s">
        <v>789</v>
      </c>
      <c r="B486" s="78">
        <f>INSUMOS!B357</f>
        <v>680000</v>
      </c>
      <c r="C486" s="98">
        <v>1</v>
      </c>
      <c r="D486" s="75">
        <f>C486*B486</f>
        <v>680000</v>
      </c>
      <c r="E486" s="105" t="s">
        <v>232</v>
      </c>
    </row>
    <row r="487" spans="1:5" x14ac:dyDescent="0.25">
      <c r="A487" s="77" t="s">
        <v>790</v>
      </c>
      <c r="B487" s="78">
        <f>INSUMOS!B376</f>
        <v>480000</v>
      </c>
      <c r="C487" s="98">
        <v>1</v>
      </c>
      <c r="D487" s="75">
        <f>C487*B487</f>
        <v>480000</v>
      </c>
      <c r="E487" s="105"/>
    </row>
    <row r="488" spans="1:5" x14ac:dyDescent="0.25">
      <c r="A488" s="77" t="s">
        <v>791</v>
      </c>
      <c r="B488" s="78">
        <f>INSUMOS!B320</f>
        <v>180000</v>
      </c>
      <c r="C488" s="98">
        <v>1</v>
      </c>
      <c r="D488" s="75">
        <f>C488*B488</f>
        <v>180000</v>
      </c>
      <c r="E488" s="105"/>
    </row>
    <row r="489" spans="1:5" x14ac:dyDescent="0.25">
      <c r="A489" s="82"/>
      <c r="B489" s="83"/>
      <c r="C489" s="83" t="s">
        <v>122</v>
      </c>
      <c r="D489" s="83">
        <f>SUM(D484:D488)</f>
        <v>3310000</v>
      </c>
      <c r="E489" s="100">
        <f>SUM(E484:E488)</f>
        <v>67</v>
      </c>
    </row>
    <row r="491" spans="1:5" x14ac:dyDescent="0.25">
      <c r="A491" s="279" t="s">
        <v>824</v>
      </c>
      <c r="B491" s="279"/>
      <c r="C491" s="279"/>
      <c r="D491" s="279"/>
      <c r="E491" s="279"/>
    </row>
    <row r="492" spans="1:5" x14ac:dyDescent="0.25">
      <c r="A492" s="72" t="s">
        <v>92</v>
      </c>
      <c r="B492" s="72" t="s">
        <v>93</v>
      </c>
      <c r="C492" s="72" t="s">
        <v>227</v>
      </c>
      <c r="D492" s="72" t="s">
        <v>228</v>
      </c>
      <c r="E492" s="114" t="s">
        <v>229</v>
      </c>
    </row>
    <row r="493" spans="1:5" x14ac:dyDescent="0.25">
      <c r="A493" s="74" t="s">
        <v>825</v>
      </c>
      <c r="B493" s="75">
        <f>INSUMOS!B184</f>
        <v>1100000</v>
      </c>
      <c r="C493" s="103">
        <v>1</v>
      </c>
      <c r="D493" s="75">
        <f t="shared" ref="D493:D498" si="6">C493*B493</f>
        <v>1100000</v>
      </c>
      <c r="E493" s="102">
        <f>INSUMOS!E184</f>
        <v>55</v>
      </c>
    </row>
    <row r="494" spans="1:5" x14ac:dyDescent="0.25">
      <c r="A494" s="77" t="s">
        <v>826</v>
      </c>
      <c r="B494" s="78">
        <f>INSUMOS!B217</f>
        <v>350000</v>
      </c>
      <c r="C494" s="98">
        <v>1</v>
      </c>
      <c r="D494" s="75">
        <f t="shared" si="6"/>
        <v>350000</v>
      </c>
      <c r="E494" s="97">
        <f>INSUMOS!E217</f>
        <v>8</v>
      </c>
    </row>
    <row r="495" spans="1:5" x14ac:dyDescent="0.25">
      <c r="A495" s="77" t="s">
        <v>827</v>
      </c>
      <c r="B495" s="78">
        <f>INSUMOS!B408</f>
        <v>170000</v>
      </c>
      <c r="C495" s="98">
        <v>1</v>
      </c>
      <c r="D495" s="75">
        <f t="shared" si="6"/>
        <v>170000</v>
      </c>
      <c r="E495" s="97"/>
    </row>
    <row r="496" spans="1:5" x14ac:dyDescent="0.25">
      <c r="A496" s="77" t="s">
        <v>828</v>
      </c>
      <c r="B496" s="78">
        <f>INSUMOS!B369</f>
        <v>650000</v>
      </c>
      <c r="C496" s="98">
        <v>1</v>
      </c>
      <c r="D496" s="75">
        <f t="shared" si="6"/>
        <v>650000</v>
      </c>
      <c r="E496" s="105" t="s">
        <v>232</v>
      </c>
    </row>
    <row r="497" spans="1:5" x14ac:dyDescent="0.25">
      <c r="A497" s="77" t="s">
        <v>829</v>
      </c>
      <c r="B497" s="78">
        <f>INSUMOS!B389</f>
        <v>100000</v>
      </c>
      <c r="C497" s="98">
        <v>1</v>
      </c>
      <c r="D497" s="75">
        <f t="shared" si="6"/>
        <v>100000</v>
      </c>
      <c r="E497" s="105"/>
    </row>
    <row r="498" spans="1:5" x14ac:dyDescent="0.25">
      <c r="A498" s="77" t="s">
        <v>830</v>
      </c>
      <c r="B498" s="78">
        <f>INSUMOS!B343</f>
        <v>200000</v>
      </c>
      <c r="C498" s="98">
        <v>1</v>
      </c>
      <c r="D498" s="75">
        <f t="shared" si="6"/>
        <v>200000</v>
      </c>
      <c r="E498" s="105"/>
    </row>
    <row r="499" spans="1:5" x14ac:dyDescent="0.25">
      <c r="A499" s="82"/>
      <c r="B499" s="83"/>
      <c r="C499" s="83" t="s">
        <v>122</v>
      </c>
      <c r="D499" s="83">
        <f>SUM(D493:D498)</f>
        <v>2570000</v>
      </c>
      <c r="E499" s="100">
        <f>SUM(E493:E498)</f>
        <v>63</v>
      </c>
    </row>
    <row r="501" spans="1:5" x14ac:dyDescent="0.25">
      <c r="A501" s="279" t="s">
        <v>831</v>
      </c>
      <c r="B501" s="279"/>
      <c r="C501" s="279"/>
      <c r="D501" s="279"/>
      <c r="E501" s="279"/>
    </row>
    <row r="502" spans="1:5" x14ac:dyDescent="0.25">
      <c r="A502" s="72" t="s">
        <v>92</v>
      </c>
      <c r="B502" s="72" t="s">
        <v>226</v>
      </c>
      <c r="C502" s="72" t="s">
        <v>227</v>
      </c>
      <c r="D502" s="72" t="s">
        <v>228</v>
      </c>
      <c r="E502" s="73" t="s">
        <v>229</v>
      </c>
    </row>
    <row r="503" spans="1:5" x14ac:dyDescent="0.25">
      <c r="A503" s="74" t="s">
        <v>661</v>
      </c>
      <c r="B503" s="75">
        <f>INSUMOS!B132</f>
        <v>170000</v>
      </c>
      <c r="C503" s="103">
        <v>1</v>
      </c>
      <c r="D503" s="75">
        <f>C503*B503</f>
        <v>170000</v>
      </c>
      <c r="E503" s="102">
        <f>INSUMOS!E823</f>
        <v>0</v>
      </c>
    </row>
    <row r="504" spans="1:5" x14ac:dyDescent="0.25">
      <c r="A504" s="77" t="s">
        <v>696</v>
      </c>
      <c r="B504" s="78">
        <f>INSUMOS!B7</f>
        <v>461000</v>
      </c>
      <c r="C504" s="98">
        <v>0.15</v>
      </c>
      <c r="D504" s="75">
        <f>C504*B504</f>
        <v>69150</v>
      </c>
      <c r="E504" s="97">
        <f>0.15*INSUMOS!E747</f>
        <v>0</v>
      </c>
    </row>
    <row r="505" spans="1:5" x14ac:dyDescent="0.25">
      <c r="A505" s="77" t="s">
        <v>697</v>
      </c>
      <c r="B505" s="78">
        <f>INSUMOS!B298</f>
        <v>250000</v>
      </c>
      <c r="C505" s="98">
        <v>1</v>
      </c>
      <c r="D505" s="75">
        <f>C505*B505</f>
        <v>250000</v>
      </c>
      <c r="E505" s="105" t="s">
        <v>232</v>
      </c>
    </row>
    <row r="506" spans="1:5" x14ac:dyDescent="0.25">
      <c r="A506" s="77" t="s">
        <v>662</v>
      </c>
      <c r="B506" s="78">
        <f>INSUMOS!B290</f>
        <v>130000</v>
      </c>
      <c r="C506" s="98">
        <v>1</v>
      </c>
      <c r="D506" s="75">
        <f>C506*B506</f>
        <v>130000</v>
      </c>
      <c r="E506" s="105"/>
    </row>
    <row r="507" spans="1:5" x14ac:dyDescent="0.25">
      <c r="A507" s="77" t="s">
        <v>663</v>
      </c>
      <c r="B507" s="78">
        <f>INSUMOS!B304</f>
        <v>60000</v>
      </c>
      <c r="C507" s="98">
        <v>1</v>
      </c>
      <c r="D507" s="75">
        <f>C507*B507</f>
        <v>60000</v>
      </c>
      <c r="E507" s="105"/>
    </row>
    <row r="508" spans="1:5" x14ac:dyDescent="0.25">
      <c r="A508" s="82"/>
      <c r="B508" s="83"/>
      <c r="C508" s="83" t="s">
        <v>122</v>
      </c>
      <c r="D508" s="83">
        <f>SUM(D503:D507)</f>
        <v>679150</v>
      </c>
      <c r="E508" s="100">
        <f>SUM(E503:E507)</f>
        <v>0</v>
      </c>
    </row>
    <row r="510" spans="1:5" x14ac:dyDescent="0.25">
      <c r="A510" s="279" t="s">
        <v>832</v>
      </c>
      <c r="B510" s="279"/>
      <c r="C510" s="279"/>
      <c r="D510" s="279"/>
      <c r="E510" s="279"/>
    </row>
    <row r="511" spans="1:5" x14ac:dyDescent="0.25">
      <c r="A511" s="72" t="s">
        <v>92</v>
      </c>
      <c r="B511" s="72" t="s">
        <v>226</v>
      </c>
      <c r="C511" s="72" t="s">
        <v>227</v>
      </c>
      <c r="D511" s="72" t="s">
        <v>228</v>
      </c>
      <c r="E511" s="73" t="s">
        <v>229</v>
      </c>
    </row>
    <row r="512" spans="1:5" x14ac:dyDescent="0.25">
      <c r="A512" s="74" t="s">
        <v>821</v>
      </c>
      <c r="B512" s="75">
        <f>INSUMOS!B168</f>
        <v>1105000</v>
      </c>
      <c r="C512" s="103">
        <v>1</v>
      </c>
      <c r="D512" s="75">
        <f>C512*B512</f>
        <v>1105000</v>
      </c>
      <c r="E512" s="102">
        <f>INSUMOS!E168</f>
        <v>28.5</v>
      </c>
    </row>
    <row r="513" spans="1:5" x14ac:dyDescent="0.25">
      <c r="A513" s="77" t="s">
        <v>808</v>
      </c>
      <c r="B513" s="78">
        <f>INSUMOS!B218</f>
        <v>600000</v>
      </c>
      <c r="C513" s="98">
        <v>1</v>
      </c>
      <c r="D513" s="75">
        <f>C513*B513</f>
        <v>600000</v>
      </c>
      <c r="E513" s="97">
        <f>INSUMOS!E218</f>
        <v>13</v>
      </c>
    </row>
    <row r="514" spans="1:5" x14ac:dyDescent="0.25">
      <c r="A514" s="77" t="s">
        <v>687</v>
      </c>
      <c r="B514" s="78">
        <f>INSUMOS!B355</f>
        <v>600000</v>
      </c>
      <c r="C514" s="98">
        <v>1</v>
      </c>
      <c r="D514" s="75">
        <f>C514*B514</f>
        <v>600000</v>
      </c>
      <c r="E514" s="105" t="s">
        <v>232</v>
      </c>
    </row>
    <row r="515" spans="1:5" x14ac:dyDescent="0.25">
      <c r="A515" s="77" t="s">
        <v>688</v>
      </c>
      <c r="B515" s="78">
        <f>INSUMOS!B374</f>
        <v>260000</v>
      </c>
      <c r="C515" s="98">
        <v>1</v>
      </c>
      <c r="D515" s="75">
        <f>C515*B515</f>
        <v>260000</v>
      </c>
      <c r="E515" s="105"/>
    </row>
    <row r="516" spans="1:5" x14ac:dyDescent="0.25">
      <c r="A516" s="77" t="s">
        <v>689</v>
      </c>
      <c r="B516" s="78">
        <f>INSUMOS!B318</f>
        <v>120000</v>
      </c>
      <c r="C516" s="98">
        <v>1</v>
      </c>
      <c r="D516" s="75">
        <f>C516*B516</f>
        <v>120000</v>
      </c>
      <c r="E516" s="105"/>
    </row>
    <row r="517" spans="1:5" x14ac:dyDescent="0.25">
      <c r="A517" s="82"/>
      <c r="B517" s="83"/>
      <c r="C517" s="83" t="s">
        <v>122</v>
      </c>
      <c r="D517" s="83">
        <f>SUM(D512:D516)</f>
        <v>2685000</v>
      </c>
      <c r="E517" s="100">
        <f>SUM(E512:E516)</f>
        <v>41.5</v>
      </c>
    </row>
    <row r="519" spans="1:5" x14ac:dyDescent="0.25">
      <c r="A519" s="279" t="s">
        <v>833</v>
      </c>
      <c r="B519" s="279"/>
      <c r="C519" s="279"/>
      <c r="D519" s="279"/>
      <c r="E519" s="279"/>
    </row>
    <row r="520" spans="1:5" x14ac:dyDescent="0.25">
      <c r="A520" s="72" t="s">
        <v>92</v>
      </c>
      <c r="B520" s="72" t="s">
        <v>226</v>
      </c>
      <c r="C520" s="72" t="s">
        <v>227</v>
      </c>
      <c r="D520" s="72" t="s">
        <v>228</v>
      </c>
      <c r="E520" s="73" t="s">
        <v>229</v>
      </c>
    </row>
    <row r="521" spans="1:5" x14ac:dyDescent="0.25">
      <c r="A521" s="74" t="s">
        <v>740</v>
      </c>
      <c r="B521" s="75">
        <f>INSUMOS!B155</f>
        <v>1100000</v>
      </c>
      <c r="C521" s="103">
        <v>1</v>
      </c>
      <c r="D521" s="75">
        <f t="shared" ref="D521:D526" si="7">C521*B521</f>
        <v>1100000</v>
      </c>
      <c r="E521" s="102">
        <f>INSUMOS!E155</f>
        <v>42</v>
      </c>
    </row>
    <row r="522" spans="1:5" x14ac:dyDescent="0.25">
      <c r="A522" s="77" t="s">
        <v>686</v>
      </c>
      <c r="B522" s="78">
        <f>INSUMOS!B210</f>
        <v>325000</v>
      </c>
      <c r="C522" s="98">
        <v>1</v>
      </c>
      <c r="D522" s="75">
        <f t="shared" si="7"/>
        <v>325000</v>
      </c>
      <c r="E522" s="97">
        <f>INSUMOS!E210</f>
        <v>8</v>
      </c>
    </row>
    <row r="523" spans="1:5" x14ac:dyDescent="0.25">
      <c r="A523" s="77" t="s">
        <v>742</v>
      </c>
      <c r="B523" s="78">
        <f>INSUMOS!B356</f>
        <v>620000</v>
      </c>
      <c r="C523" s="98">
        <v>1</v>
      </c>
      <c r="D523" s="75">
        <f t="shared" si="7"/>
        <v>620000</v>
      </c>
      <c r="E523" s="105" t="s">
        <v>232</v>
      </c>
    </row>
    <row r="524" spans="1:5" x14ac:dyDescent="0.25">
      <c r="A524" s="77" t="s">
        <v>819</v>
      </c>
      <c r="B524" s="78">
        <f>INSUMOS!B399</f>
        <v>90000</v>
      </c>
      <c r="C524" s="98">
        <v>1</v>
      </c>
      <c r="D524" s="75">
        <f t="shared" si="7"/>
        <v>90000</v>
      </c>
      <c r="E524" s="105"/>
    </row>
    <row r="525" spans="1:5" x14ac:dyDescent="0.25">
      <c r="A525" s="77" t="s">
        <v>743</v>
      </c>
      <c r="B525" s="78">
        <f>INSUMOS!B375</f>
        <v>330000</v>
      </c>
      <c r="C525" s="98">
        <v>1</v>
      </c>
      <c r="D525" s="75">
        <f t="shared" si="7"/>
        <v>330000</v>
      </c>
      <c r="E525" s="105"/>
    </row>
    <row r="526" spans="1:5" x14ac:dyDescent="0.25">
      <c r="A526" s="77" t="s">
        <v>744</v>
      </c>
      <c r="B526" s="78">
        <f>INSUMOS!B319</f>
        <v>150000</v>
      </c>
      <c r="C526" s="98">
        <v>1</v>
      </c>
      <c r="D526" s="75">
        <f t="shared" si="7"/>
        <v>150000</v>
      </c>
      <c r="E526" s="105"/>
    </row>
    <row r="527" spans="1:5" x14ac:dyDescent="0.25">
      <c r="A527" s="82"/>
      <c r="B527" s="83"/>
      <c r="C527" s="83" t="s">
        <v>122</v>
      </c>
      <c r="D527" s="83">
        <f>SUM(D521:D526)</f>
        <v>2615000</v>
      </c>
      <c r="E527" s="100">
        <f>SUM(E521:E526)</f>
        <v>50</v>
      </c>
    </row>
    <row r="529" spans="1:5" x14ac:dyDescent="0.25">
      <c r="A529" s="279" t="s">
        <v>834</v>
      </c>
      <c r="B529" s="279"/>
      <c r="C529" s="279"/>
      <c r="D529" s="279"/>
      <c r="E529" s="279"/>
    </row>
    <row r="530" spans="1:5" x14ac:dyDescent="0.25">
      <c r="A530" s="72" t="s">
        <v>92</v>
      </c>
      <c r="B530" s="72" t="s">
        <v>226</v>
      </c>
      <c r="C530" s="72" t="s">
        <v>227</v>
      </c>
      <c r="D530" s="72" t="s">
        <v>228</v>
      </c>
      <c r="E530" s="73" t="s">
        <v>229</v>
      </c>
    </row>
    <row r="531" spans="1:5" x14ac:dyDescent="0.25">
      <c r="A531" s="74" t="s">
        <v>724</v>
      </c>
      <c r="B531" s="75">
        <f>INSUMOS!B151</f>
        <v>205000</v>
      </c>
      <c r="C531" s="103">
        <v>1</v>
      </c>
      <c r="D531" s="75">
        <f>C531*B531</f>
        <v>205000</v>
      </c>
      <c r="E531" s="102">
        <f>INSUMOS!E151</f>
        <v>9.8000000000000007</v>
      </c>
    </row>
    <row r="532" spans="1:5" x14ac:dyDescent="0.25">
      <c r="A532" s="77" t="s">
        <v>658</v>
      </c>
      <c r="B532" s="78">
        <f>INSUMOS!B5</f>
        <v>154000</v>
      </c>
      <c r="C532" s="98">
        <v>0.15</v>
      </c>
      <c r="D532" s="75">
        <f>C532*B532</f>
        <v>23100</v>
      </c>
      <c r="E532" s="97">
        <f>C532*INSUMOS!E5</f>
        <v>2.3865922265492139</v>
      </c>
    </row>
    <row r="533" spans="1:5" x14ac:dyDescent="0.25">
      <c r="A533" s="77" t="s">
        <v>659</v>
      </c>
      <c r="B533" s="78">
        <f>INSUMOS!B297</f>
        <v>200000</v>
      </c>
      <c r="C533" s="98">
        <v>1</v>
      </c>
      <c r="D533" s="75">
        <f>C533*B533</f>
        <v>200000</v>
      </c>
      <c r="E533" s="105" t="s">
        <v>232</v>
      </c>
    </row>
    <row r="534" spans="1:5" x14ac:dyDescent="0.25">
      <c r="A534" s="77" t="s">
        <v>726</v>
      </c>
      <c r="B534" s="78">
        <f>INSUMOS!B352</f>
        <v>230000</v>
      </c>
      <c r="C534" s="98">
        <v>1</v>
      </c>
      <c r="D534" s="75">
        <f>C534*B534</f>
        <v>230000</v>
      </c>
      <c r="E534" s="105"/>
    </row>
    <row r="535" spans="1:5" x14ac:dyDescent="0.25">
      <c r="A535" s="77" t="s">
        <v>727</v>
      </c>
      <c r="B535" s="78">
        <f>INSUMOS!B315</f>
        <v>70000</v>
      </c>
      <c r="C535" s="98">
        <v>1</v>
      </c>
      <c r="D535" s="75">
        <f>C535*B535</f>
        <v>70000</v>
      </c>
      <c r="E535" s="105"/>
    </row>
    <row r="536" spans="1:5" x14ac:dyDescent="0.25">
      <c r="A536" s="82"/>
      <c r="B536" s="83"/>
      <c r="C536" s="83" t="s">
        <v>122</v>
      </c>
      <c r="D536" s="83">
        <f>SUM(D531:D535)</f>
        <v>728100</v>
      </c>
      <c r="E536" s="100">
        <f>SUM(E531:E535)</f>
        <v>12.186592226549214</v>
      </c>
    </row>
    <row r="538" spans="1:5" x14ac:dyDescent="0.25">
      <c r="A538" s="279" t="s">
        <v>835</v>
      </c>
      <c r="B538" s="279"/>
      <c r="C538" s="279"/>
      <c r="D538" s="279"/>
      <c r="E538" s="279"/>
    </row>
    <row r="539" spans="1:5" x14ac:dyDescent="0.25">
      <c r="A539" s="72" t="s">
        <v>92</v>
      </c>
      <c r="B539" s="72" t="s">
        <v>226</v>
      </c>
      <c r="C539" s="72" t="s">
        <v>227</v>
      </c>
      <c r="D539" s="72" t="s">
        <v>228</v>
      </c>
      <c r="E539" s="73" t="s">
        <v>229</v>
      </c>
    </row>
    <row r="540" spans="1:5" x14ac:dyDescent="0.25">
      <c r="A540" s="74" t="s">
        <v>720</v>
      </c>
      <c r="B540" s="75">
        <f>INSUMOS!B150</f>
        <v>180000</v>
      </c>
      <c r="C540" s="103">
        <v>1</v>
      </c>
      <c r="D540" s="75">
        <f>C540*B540</f>
        <v>180000</v>
      </c>
      <c r="E540" s="102">
        <f>INSUMOS!E150</f>
        <v>5.5</v>
      </c>
    </row>
    <row r="541" spans="1:5" x14ac:dyDescent="0.25">
      <c r="A541" s="77" t="s">
        <v>649</v>
      </c>
      <c r="B541" s="78">
        <f>INSUMOS!B5</f>
        <v>154000</v>
      </c>
      <c r="C541" s="98">
        <v>0.15</v>
      </c>
      <c r="D541" s="75">
        <f>C541*B541</f>
        <v>23100</v>
      </c>
      <c r="E541" s="97">
        <f>C541*INSUMOS!E5</f>
        <v>2.3865922265492139</v>
      </c>
    </row>
    <row r="542" spans="1:5" x14ac:dyDescent="0.25">
      <c r="A542" s="77" t="s">
        <v>650</v>
      </c>
      <c r="B542" s="78">
        <f>INSUMOS!B297</f>
        <v>200000</v>
      </c>
      <c r="C542" s="98">
        <v>1</v>
      </c>
      <c r="D542" s="75">
        <f>C542*B542</f>
        <v>200000</v>
      </c>
      <c r="E542" s="105" t="s">
        <v>232</v>
      </c>
    </row>
    <row r="543" spans="1:5" x14ac:dyDescent="0.25">
      <c r="A543" s="77" t="s">
        <v>721</v>
      </c>
      <c r="B543" s="78">
        <f>INSUMOS!B351</f>
        <v>200000</v>
      </c>
      <c r="C543" s="98">
        <v>1</v>
      </c>
      <c r="D543" s="75">
        <f>C543*B543</f>
        <v>200000</v>
      </c>
      <c r="E543" s="105"/>
    </row>
    <row r="544" spans="1:5" x14ac:dyDescent="0.25">
      <c r="A544" s="77" t="s">
        <v>722</v>
      </c>
      <c r="B544" s="78">
        <f>INSUMOS!B314</f>
        <v>60000</v>
      </c>
      <c r="C544" s="98">
        <v>1</v>
      </c>
      <c r="D544" s="75">
        <f>C544*B544</f>
        <v>60000</v>
      </c>
      <c r="E544" s="105"/>
    </row>
    <row r="545" spans="1:5" x14ac:dyDescent="0.25">
      <c r="A545" s="82"/>
      <c r="B545" s="83"/>
      <c r="C545" s="83" t="s">
        <v>122</v>
      </c>
      <c r="D545" s="83">
        <f>SUM(D540:D544)</f>
        <v>663100</v>
      </c>
      <c r="E545" s="100">
        <f>SUM(E540:E544)</f>
        <v>7.8865922265492134</v>
      </c>
    </row>
    <row r="547" spans="1:5" x14ac:dyDescent="0.25">
      <c r="A547" s="279" t="s">
        <v>836</v>
      </c>
      <c r="B547" s="279"/>
      <c r="C547" s="279"/>
      <c r="D547" s="279"/>
      <c r="E547" s="279"/>
    </row>
    <row r="548" spans="1:5" x14ac:dyDescent="0.25">
      <c r="A548" s="72" t="s">
        <v>92</v>
      </c>
      <c r="B548" s="72" t="s">
        <v>226</v>
      </c>
      <c r="C548" s="72" t="s">
        <v>227</v>
      </c>
      <c r="D548" s="72" t="s">
        <v>228</v>
      </c>
      <c r="E548" s="73" t="s">
        <v>229</v>
      </c>
    </row>
    <row r="549" spans="1:5" x14ac:dyDescent="0.25">
      <c r="A549" s="74" t="s">
        <v>720</v>
      </c>
      <c r="B549" s="75">
        <f>INSUMOS!B150</f>
        <v>180000</v>
      </c>
      <c r="C549" s="103">
        <v>1</v>
      </c>
      <c r="D549" s="75">
        <f>C549*B549</f>
        <v>180000</v>
      </c>
      <c r="E549" s="102">
        <f>INSUMOS!E150</f>
        <v>5.5</v>
      </c>
    </row>
    <row r="550" spans="1:5" x14ac:dyDescent="0.25">
      <c r="A550" s="77" t="s">
        <v>658</v>
      </c>
      <c r="B550" s="78">
        <f>INSUMOS!B5</f>
        <v>154000</v>
      </c>
      <c r="C550" s="98">
        <v>0.15</v>
      </c>
      <c r="D550" s="75">
        <f>C550*B550</f>
        <v>23100</v>
      </c>
      <c r="E550" s="97">
        <f>C550*INSUMOS!E5</f>
        <v>2.3865922265492139</v>
      </c>
    </row>
    <row r="551" spans="1:5" x14ac:dyDescent="0.25">
      <c r="A551" s="77" t="s">
        <v>659</v>
      </c>
      <c r="B551" s="78">
        <f>INSUMOS!B297</f>
        <v>200000</v>
      </c>
      <c r="C551" s="98">
        <v>1</v>
      </c>
      <c r="D551" s="75">
        <f>C551*B551</f>
        <v>200000</v>
      </c>
      <c r="E551" s="105" t="s">
        <v>232</v>
      </c>
    </row>
    <row r="552" spans="1:5" x14ac:dyDescent="0.25">
      <c r="A552" s="77" t="s">
        <v>721</v>
      </c>
      <c r="B552" s="78">
        <f>INSUMOS!B351</f>
        <v>200000</v>
      </c>
      <c r="C552" s="98">
        <v>1</v>
      </c>
      <c r="D552" s="75">
        <f>C552*B552</f>
        <v>200000</v>
      </c>
      <c r="E552" s="105"/>
    </row>
    <row r="553" spans="1:5" x14ac:dyDescent="0.25">
      <c r="A553" s="77" t="s">
        <v>722</v>
      </c>
      <c r="B553" s="78">
        <f>INSUMOS!B314</f>
        <v>60000</v>
      </c>
      <c r="C553" s="98">
        <v>1</v>
      </c>
      <c r="D553" s="75">
        <f>C553*B553</f>
        <v>60000</v>
      </c>
      <c r="E553" s="105"/>
    </row>
    <row r="554" spans="1:5" x14ac:dyDescent="0.25">
      <c r="A554" s="82"/>
      <c r="B554" s="83"/>
      <c r="C554" s="83" t="s">
        <v>122</v>
      </c>
      <c r="D554" s="83">
        <f>SUM(D549:D553)</f>
        <v>663100</v>
      </c>
      <c r="E554" s="100">
        <f>SUM(E549:E553)</f>
        <v>7.8865922265492134</v>
      </c>
    </row>
    <row r="557" spans="1:5" x14ac:dyDescent="0.25">
      <c r="A557" s="279" t="s">
        <v>837</v>
      </c>
      <c r="B557" s="279"/>
      <c r="C557" s="279"/>
      <c r="D557" s="279"/>
      <c r="E557" s="279"/>
    </row>
    <row r="558" spans="1:5" x14ac:dyDescent="0.25">
      <c r="A558" s="72" t="s">
        <v>92</v>
      </c>
      <c r="B558" s="72" t="s">
        <v>93</v>
      </c>
      <c r="C558" s="72" t="s">
        <v>227</v>
      </c>
      <c r="D558" s="72" t="s">
        <v>228</v>
      </c>
      <c r="E558" s="114" t="s">
        <v>229</v>
      </c>
    </row>
    <row r="559" spans="1:5" x14ac:dyDescent="0.25">
      <c r="A559" s="74" t="s">
        <v>838</v>
      </c>
      <c r="B559" s="75">
        <f>INSUMOS!B182</f>
        <v>1900000</v>
      </c>
      <c r="C559" s="103">
        <v>1</v>
      </c>
      <c r="D559" s="75">
        <f t="shared" ref="D559:D564" si="8">C559*B559</f>
        <v>1900000</v>
      </c>
      <c r="E559" s="102">
        <f>INSUMOS!E182</f>
        <v>124</v>
      </c>
    </row>
    <row r="560" spans="1:5" x14ac:dyDescent="0.25">
      <c r="A560" s="77" t="s">
        <v>839</v>
      </c>
      <c r="B560" s="78">
        <f>INSUMOS!B226</f>
        <v>380000</v>
      </c>
      <c r="C560" s="98">
        <v>1</v>
      </c>
      <c r="D560" s="75">
        <f t="shared" si="8"/>
        <v>380000</v>
      </c>
      <c r="E560" s="97">
        <f>INSUMOS!E226</f>
        <v>16</v>
      </c>
    </row>
    <row r="561" spans="1:5" x14ac:dyDescent="0.25">
      <c r="A561" s="77" t="s">
        <v>840</v>
      </c>
      <c r="B561" s="78">
        <f>INSUMOS!B392</f>
        <v>310000</v>
      </c>
      <c r="C561" s="98">
        <v>1</v>
      </c>
      <c r="D561" s="75">
        <f t="shared" si="8"/>
        <v>310000</v>
      </c>
      <c r="E561" s="97"/>
    </row>
    <row r="562" spans="1:5" x14ac:dyDescent="0.25">
      <c r="A562" s="77" t="s">
        <v>841</v>
      </c>
      <c r="B562" s="78">
        <f>INSUMOS!B372</f>
        <v>1000000</v>
      </c>
      <c r="C562" s="98">
        <v>1</v>
      </c>
      <c r="D562" s="75">
        <f t="shared" si="8"/>
        <v>1000000</v>
      </c>
      <c r="E562" s="105" t="s">
        <v>232</v>
      </c>
    </row>
    <row r="563" spans="1:5" x14ac:dyDescent="0.25">
      <c r="A563" s="77" t="s">
        <v>842</v>
      </c>
      <c r="B563" s="78">
        <f>INSUMOS!B392</f>
        <v>310000</v>
      </c>
      <c r="C563" s="98">
        <v>1</v>
      </c>
      <c r="D563" s="75">
        <f t="shared" si="8"/>
        <v>310000</v>
      </c>
      <c r="E563" s="105"/>
    </row>
    <row r="564" spans="1:5" x14ac:dyDescent="0.25">
      <c r="A564" s="77" t="s">
        <v>843</v>
      </c>
      <c r="B564" s="78">
        <f>INSUMOS!B346</f>
        <v>360000</v>
      </c>
      <c r="C564" s="98">
        <v>1</v>
      </c>
      <c r="D564" s="75">
        <f t="shared" si="8"/>
        <v>360000</v>
      </c>
      <c r="E564" s="105"/>
    </row>
    <row r="565" spans="1:5" x14ac:dyDescent="0.25">
      <c r="A565" s="82"/>
      <c r="B565" s="83"/>
      <c r="C565" s="83" t="s">
        <v>122</v>
      </c>
      <c r="D565" s="83">
        <f>SUM(D559:D564)</f>
        <v>4260000</v>
      </c>
      <c r="E565" s="100">
        <f>SUM(E559:E564)</f>
        <v>140</v>
      </c>
    </row>
    <row r="567" spans="1:5" x14ac:dyDescent="0.25">
      <c r="A567" s="279" t="s">
        <v>844</v>
      </c>
      <c r="B567" s="279"/>
      <c r="C567" s="279"/>
      <c r="D567" s="279"/>
      <c r="E567" s="279"/>
    </row>
    <row r="568" spans="1:5" x14ac:dyDescent="0.25">
      <c r="A568" s="72" t="s">
        <v>92</v>
      </c>
      <c r="B568" s="72" t="s">
        <v>226</v>
      </c>
      <c r="C568" s="72" t="s">
        <v>227</v>
      </c>
      <c r="D568" s="72" t="s">
        <v>228</v>
      </c>
      <c r="E568" s="73" t="s">
        <v>229</v>
      </c>
    </row>
    <row r="569" spans="1:5" x14ac:dyDescent="0.25">
      <c r="A569" s="74" t="s">
        <v>654</v>
      </c>
      <c r="B569" s="75">
        <f>INSUMOS!B130</f>
        <v>130000</v>
      </c>
      <c r="C569" s="103">
        <v>1</v>
      </c>
      <c r="D569" s="75">
        <f>C569*B569</f>
        <v>130000</v>
      </c>
      <c r="E569" s="102">
        <f>INSUMOS!E130</f>
        <v>2.91</v>
      </c>
    </row>
    <row r="570" spans="1:5" x14ac:dyDescent="0.25">
      <c r="A570" s="77" t="s">
        <v>658</v>
      </c>
      <c r="B570" s="78">
        <f>INSUMOS!B5</f>
        <v>154000</v>
      </c>
      <c r="C570" s="98">
        <v>0.15</v>
      </c>
      <c r="D570" s="75">
        <f>C570*B570</f>
        <v>23100</v>
      </c>
      <c r="E570" s="97">
        <f>C570*INSUMOS!E5</f>
        <v>2.3865922265492139</v>
      </c>
    </row>
    <row r="571" spans="1:5" x14ac:dyDescent="0.25">
      <c r="A571" s="77" t="s">
        <v>659</v>
      </c>
      <c r="B571" s="78">
        <f>INSUMOS!B297</f>
        <v>200000</v>
      </c>
      <c r="C571" s="98">
        <v>1</v>
      </c>
      <c r="D571" s="75">
        <f>C571*B571</f>
        <v>200000</v>
      </c>
      <c r="E571" s="105" t="s">
        <v>232</v>
      </c>
    </row>
    <row r="572" spans="1:5" x14ac:dyDescent="0.25">
      <c r="A572" s="77" t="s">
        <v>655</v>
      </c>
      <c r="B572" s="78">
        <f>INSUMOS!B302</f>
        <v>40000</v>
      </c>
      <c r="C572" s="98">
        <v>1</v>
      </c>
      <c r="D572" s="75">
        <f>C572*B572</f>
        <v>40000</v>
      </c>
      <c r="E572" s="105"/>
    </row>
    <row r="573" spans="1:5" x14ac:dyDescent="0.25">
      <c r="A573" s="77" t="s">
        <v>656</v>
      </c>
      <c r="B573" s="78">
        <f>INSUMOS!B302</f>
        <v>40000</v>
      </c>
      <c r="C573" s="98">
        <v>1</v>
      </c>
      <c r="D573" s="75">
        <f>C573*B573</f>
        <v>40000</v>
      </c>
      <c r="E573" s="105"/>
    </row>
    <row r="574" spans="1:5" x14ac:dyDescent="0.25">
      <c r="A574" s="82"/>
      <c r="B574" s="83"/>
      <c r="C574" s="83" t="s">
        <v>122</v>
      </c>
      <c r="D574" s="83">
        <f>SUM(D569:D573)</f>
        <v>433100</v>
      </c>
      <c r="E574" s="100">
        <f>SUM(E569:E573)</f>
        <v>5.2965922265492136</v>
      </c>
    </row>
    <row r="576" spans="1:5" x14ac:dyDescent="0.25">
      <c r="A576" s="279" t="s">
        <v>845</v>
      </c>
      <c r="B576" s="279"/>
      <c r="C576" s="279"/>
      <c r="D576" s="279"/>
      <c r="E576" s="279"/>
    </row>
    <row r="577" spans="1:5" x14ac:dyDescent="0.25">
      <c r="A577" s="72" t="s">
        <v>92</v>
      </c>
      <c r="B577" s="72" t="s">
        <v>93</v>
      </c>
      <c r="C577" s="72" t="s">
        <v>227</v>
      </c>
      <c r="D577" s="72" t="s">
        <v>228</v>
      </c>
      <c r="E577" s="114" t="s">
        <v>229</v>
      </c>
    </row>
    <row r="578" spans="1:5" x14ac:dyDescent="0.25">
      <c r="A578" s="74" t="s">
        <v>846</v>
      </c>
      <c r="B578" s="75">
        <f>INSUMOS!B187</f>
        <v>1950000</v>
      </c>
      <c r="C578" s="103">
        <v>1</v>
      </c>
      <c r="D578" s="75">
        <f t="shared" ref="D578:D583" si="9">C578*B578</f>
        <v>1950000</v>
      </c>
      <c r="E578" s="102">
        <f>INSUMOS!E187</f>
        <v>124</v>
      </c>
    </row>
    <row r="579" spans="1:5" x14ac:dyDescent="0.25">
      <c r="A579" s="77" t="s">
        <v>796</v>
      </c>
      <c r="B579" s="78">
        <f>INSUMOS!B231</f>
        <v>456000</v>
      </c>
      <c r="C579" s="98">
        <v>1</v>
      </c>
      <c r="D579" s="75">
        <f t="shared" si="9"/>
        <v>456000</v>
      </c>
      <c r="E579" s="97">
        <f>INSUMOS!E231</f>
        <v>16</v>
      </c>
    </row>
    <row r="580" spans="1:5" x14ac:dyDescent="0.25">
      <c r="A580" s="77" t="s">
        <v>840</v>
      </c>
      <c r="B580" s="78">
        <f>INSUMOS!B411</f>
        <v>250000</v>
      </c>
      <c r="C580" s="98">
        <v>1</v>
      </c>
      <c r="D580" s="75">
        <f t="shared" si="9"/>
        <v>250000</v>
      </c>
      <c r="E580" s="97"/>
    </row>
    <row r="581" spans="1:5" x14ac:dyDescent="0.25">
      <c r="A581" s="77" t="s">
        <v>841</v>
      </c>
      <c r="B581" s="78">
        <f>INSUMOS!B372</f>
        <v>1000000</v>
      </c>
      <c r="C581" s="98">
        <v>1</v>
      </c>
      <c r="D581" s="75">
        <f t="shared" si="9"/>
        <v>1000000</v>
      </c>
      <c r="E581" s="105" t="s">
        <v>232</v>
      </c>
    </row>
    <row r="582" spans="1:5" x14ac:dyDescent="0.25">
      <c r="A582" s="77" t="s">
        <v>842</v>
      </c>
      <c r="B582" s="78">
        <f>INSUMOS!B392</f>
        <v>310000</v>
      </c>
      <c r="C582" s="98">
        <v>1</v>
      </c>
      <c r="D582" s="75">
        <f t="shared" si="9"/>
        <v>310000</v>
      </c>
      <c r="E582" s="105"/>
    </row>
    <row r="583" spans="1:5" x14ac:dyDescent="0.25">
      <c r="A583" s="77" t="s">
        <v>843</v>
      </c>
      <c r="B583" s="78">
        <f>INSUMOS!B346</f>
        <v>360000</v>
      </c>
      <c r="C583" s="98">
        <v>1</v>
      </c>
      <c r="D583" s="75">
        <f t="shared" si="9"/>
        <v>360000</v>
      </c>
      <c r="E583" s="105"/>
    </row>
    <row r="584" spans="1:5" x14ac:dyDescent="0.25">
      <c r="A584" s="82"/>
      <c r="B584" s="83"/>
      <c r="C584" s="83" t="s">
        <v>122</v>
      </c>
      <c r="D584" s="83">
        <f>SUM(D578:D583)</f>
        <v>4326000</v>
      </c>
      <c r="E584" s="100">
        <f>SUM(E578:E583)</f>
        <v>140</v>
      </c>
    </row>
    <row r="586" spans="1:5" x14ac:dyDescent="0.25">
      <c r="A586" s="279" t="s">
        <v>847</v>
      </c>
      <c r="B586" s="279"/>
      <c r="C586" s="279"/>
      <c r="D586" s="279"/>
      <c r="E586" s="279"/>
    </row>
    <row r="587" spans="1:5" x14ac:dyDescent="0.25">
      <c r="A587" s="72" t="s">
        <v>92</v>
      </c>
      <c r="B587" s="72" t="s">
        <v>226</v>
      </c>
      <c r="C587" s="72" t="s">
        <v>227</v>
      </c>
      <c r="D587" s="72" t="s">
        <v>228</v>
      </c>
      <c r="E587" s="73" t="s">
        <v>229</v>
      </c>
    </row>
    <row r="588" spans="1:5" x14ac:dyDescent="0.25">
      <c r="A588" s="74" t="s">
        <v>848</v>
      </c>
      <c r="B588" s="75">
        <f>INSUMOS!B131</f>
        <v>150000</v>
      </c>
      <c r="C588" s="103">
        <v>1</v>
      </c>
      <c r="D588" s="75">
        <f>C588*B588</f>
        <v>150000</v>
      </c>
      <c r="E588" s="102">
        <f>INSUMOS!E131</f>
        <v>4</v>
      </c>
    </row>
    <row r="589" spans="1:5" x14ac:dyDescent="0.25">
      <c r="A589" s="77" t="s">
        <v>696</v>
      </c>
      <c r="B589" s="78">
        <f>INSUMOS!B7</f>
        <v>461000</v>
      </c>
      <c r="C589" s="98">
        <v>0.15</v>
      </c>
      <c r="D589" s="75">
        <f>C589*B589</f>
        <v>69150</v>
      </c>
      <c r="E589" s="97">
        <f>C589*INSUMOS!E7</f>
        <v>5.3698325097357316</v>
      </c>
    </row>
    <row r="590" spans="1:5" x14ac:dyDescent="0.25">
      <c r="A590" s="77" t="s">
        <v>697</v>
      </c>
      <c r="B590" s="78">
        <f>INSUMOS!B298</f>
        <v>250000</v>
      </c>
      <c r="C590" s="98">
        <v>1</v>
      </c>
      <c r="D590" s="75">
        <f>C590*B590</f>
        <v>250000</v>
      </c>
      <c r="E590" s="105" t="s">
        <v>232</v>
      </c>
    </row>
    <row r="591" spans="1:5" x14ac:dyDescent="0.25">
      <c r="A591" s="77" t="s">
        <v>672</v>
      </c>
      <c r="B591" s="78">
        <f>INSUMOS!B289</f>
        <v>100000</v>
      </c>
      <c r="C591" s="98">
        <v>1</v>
      </c>
      <c r="D591" s="75">
        <f>C591*B591</f>
        <v>100000</v>
      </c>
      <c r="E591" s="105"/>
    </row>
    <row r="592" spans="1:5" x14ac:dyDescent="0.25">
      <c r="A592" s="77" t="s">
        <v>673</v>
      </c>
      <c r="B592" s="78">
        <f>INSUMOS!B303</f>
        <v>50000</v>
      </c>
      <c r="C592" s="98">
        <v>1</v>
      </c>
      <c r="D592" s="75">
        <f>C592*B592</f>
        <v>50000</v>
      </c>
      <c r="E592" s="105"/>
    </row>
    <row r="593" spans="1:5" x14ac:dyDescent="0.25">
      <c r="A593" s="82"/>
      <c r="B593" s="83"/>
      <c r="C593" s="83" t="s">
        <v>122</v>
      </c>
      <c r="D593" s="83">
        <f>SUM(D588:D592)</f>
        <v>619150</v>
      </c>
      <c r="E593" s="100">
        <f>SUM(E588:E592)</f>
        <v>9.3698325097357316</v>
      </c>
    </row>
    <row r="595" spans="1:5" x14ac:dyDescent="0.25">
      <c r="A595" s="279" t="s">
        <v>849</v>
      </c>
      <c r="B595" s="279"/>
      <c r="C595" s="279"/>
      <c r="D595" s="279"/>
      <c r="E595" s="279"/>
    </row>
    <row r="596" spans="1:5" x14ac:dyDescent="0.25">
      <c r="A596" s="72" t="s">
        <v>92</v>
      </c>
      <c r="B596" s="72" t="s">
        <v>226</v>
      </c>
      <c r="C596" s="72" t="s">
        <v>227</v>
      </c>
      <c r="D596" s="72" t="s">
        <v>228</v>
      </c>
      <c r="E596" s="73" t="s">
        <v>229</v>
      </c>
    </row>
    <row r="597" spans="1:5" x14ac:dyDescent="0.25">
      <c r="A597" s="74" t="s">
        <v>811</v>
      </c>
      <c r="B597" s="75">
        <f>INSUMOS!B153</f>
        <v>350000</v>
      </c>
      <c r="C597" s="103">
        <v>1</v>
      </c>
      <c r="D597" s="75">
        <f>C597*B597</f>
        <v>350000</v>
      </c>
      <c r="E597" s="102">
        <f>INSUMOS!E153</f>
        <v>22.5</v>
      </c>
    </row>
    <row r="598" spans="1:5" x14ac:dyDescent="0.25">
      <c r="A598" s="77" t="s">
        <v>696</v>
      </c>
      <c r="B598" s="78">
        <f>INSUMOS!B7</f>
        <v>461000</v>
      </c>
      <c r="C598" s="98">
        <v>0.15</v>
      </c>
      <c r="D598" s="75">
        <f>C598*B598</f>
        <v>69150</v>
      </c>
      <c r="E598" s="97">
        <f>C598*INSUMOS!E18</f>
        <v>3.7290503539831477</v>
      </c>
    </row>
    <row r="599" spans="1:5" x14ac:dyDescent="0.25">
      <c r="A599" s="77" t="s">
        <v>697</v>
      </c>
      <c r="B599" s="78">
        <f>INSUMOS!B298</f>
        <v>250000</v>
      </c>
      <c r="C599" s="98">
        <v>1</v>
      </c>
      <c r="D599" s="75">
        <f>C599*B599</f>
        <v>250000</v>
      </c>
      <c r="E599" s="105" t="s">
        <v>232</v>
      </c>
    </row>
    <row r="600" spans="1:5" x14ac:dyDescent="0.25">
      <c r="A600" s="77" t="s">
        <v>736</v>
      </c>
      <c r="B600" s="78">
        <f>INSUMOS!B354</f>
        <v>530000</v>
      </c>
      <c r="C600" s="98">
        <v>1</v>
      </c>
      <c r="D600" s="75">
        <f>C600*B600</f>
        <v>530000</v>
      </c>
      <c r="E600" s="105"/>
    </row>
    <row r="601" spans="1:5" x14ac:dyDescent="0.25">
      <c r="A601" s="77" t="s">
        <v>737</v>
      </c>
      <c r="B601" s="78">
        <f>INSUMOS!B317</f>
        <v>100000</v>
      </c>
      <c r="C601" s="98">
        <v>1</v>
      </c>
      <c r="D601" s="75">
        <f>C601*B601</f>
        <v>100000</v>
      </c>
      <c r="E601" s="105"/>
    </row>
    <row r="602" spans="1:5" x14ac:dyDescent="0.25">
      <c r="A602" s="82"/>
      <c r="B602" s="83"/>
      <c r="C602" s="83" t="s">
        <v>122</v>
      </c>
      <c r="D602" s="83">
        <f>SUM(D597:D601)</f>
        <v>1299150</v>
      </c>
      <c r="E602" s="100">
        <f>SUM(E597:E601)</f>
        <v>26.229050353983148</v>
      </c>
    </row>
    <row r="604" spans="1:5" x14ac:dyDescent="0.25">
      <c r="A604" s="279" t="s">
        <v>850</v>
      </c>
      <c r="B604" s="279"/>
      <c r="C604" s="279"/>
      <c r="D604" s="279"/>
      <c r="E604" s="279"/>
    </row>
    <row r="605" spans="1:5" x14ac:dyDescent="0.25">
      <c r="A605" s="72" t="s">
        <v>92</v>
      </c>
      <c r="B605" s="72" t="s">
        <v>226</v>
      </c>
      <c r="C605" s="72" t="s">
        <v>227</v>
      </c>
      <c r="D605" s="72" t="s">
        <v>228</v>
      </c>
      <c r="E605" s="73" t="s">
        <v>229</v>
      </c>
    </row>
    <row r="606" spans="1:5" x14ac:dyDescent="0.25">
      <c r="A606" s="74" t="s">
        <v>685</v>
      </c>
      <c r="B606" s="75">
        <f>INSUMOS!B154</f>
        <v>850000</v>
      </c>
      <c r="C606" s="103">
        <v>1</v>
      </c>
      <c r="D606" s="75">
        <f>C606*B606</f>
        <v>850000</v>
      </c>
      <c r="E606" s="102">
        <f>INSUMOS!E154</f>
        <v>28.5</v>
      </c>
    </row>
    <row r="607" spans="1:5" x14ac:dyDescent="0.25">
      <c r="A607" s="77" t="s">
        <v>696</v>
      </c>
      <c r="B607" s="78">
        <f>INSUMOS!B7</f>
        <v>461000</v>
      </c>
      <c r="C607" s="98">
        <v>0.15</v>
      </c>
      <c r="D607" s="75">
        <f>C607*B607</f>
        <v>69150</v>
      </c>
      <c r="E607" s="97">
        <f>C607*INSUMOS!E7</f>
        <v>5.3698325097357316</v>
      </c>
    </row>
    <row r="608" spans="1:5" x14ac:dyDescent="0.25">
      <c r="A608" s="77" t="s">
        <v>697</v>
      </c>
      <c r="B608" s="78">
        <f>INSUMOS!B298</f>
        <v>250000</v>
      </c>
      <c r="C608" s="98">
        <v>1</v>
      </c>
      <c r="D608" s="75">
        <f>C608*B608</f>
        <v>250000</v>
      </c>
      <c r="E608" s="105" t="s">
        <v>232</v>
      </c>
    </row>
    <row r="609" spans="1:5" x14ac:dyDescent="0.25">
      <c r="A609" s="77" t="s">
        <v>687</v>
      </c>
      <c r="B609" s="78">
        <f>INSUMOS!B355</f>
        <v>600000</v>
      </c>
      <c r="C609" s="98">
        <v>1</v>
      </c>
      <c r="D609" s="75">
        <f>C609*B609</f>
        <v>600000</v>
      </c>
      <c r="E609" s="105"/>
    </row>
    <row r="610" spans="1:5" x14ac:dyDescent="0.25">
      <c r="A610" s="77" t="s">
        <v>689</v>
      </c>
      <c r="B610" s="78">
        <f>INSUMOS!B318</f>
        <v>120000</v>
      </c>
      <c r="C610" s="98">
        <v>1</v>
      </c>
      <c r="D610" s="75">
        <f>C610*B610</f>
        <v>120000</v>
      </c>
      <c r="E610" s="105"/>
    </row>
    <row r="611" spans="1:5" x14ac:dyDescent="0.25">
      <c r="A611" s="82"/>
      <c r="B611" s="83"/>
      <c r="C611" s="83" t="s">
        <v>122</v>
      </c>
      <c r="D611" s="83">
        <f>SUM(D606:D610)</f>
        <v>1889150</v>
      </c>
      <c r="E611" s="100">
        <f>SUM(E606:E610)</f>
        <v>33.86983250973573</v>
      </c>
    </row>
    <row r="613" spans="1:5" x14ac:dyDescent="0.25">
      <c r="A613" s="279" t="s">
        <v>851</v>
      </c>
      <c r="B613" s="279"/>
      <c r="C613" s="279"/>
      <c r="D613" s="279"/>
      <c r="E613" s="279"/>
    </row>
    <row r="614" spans="1:5" x14ac:dyDescent="0.25">
      <c r="A614" s="72" t="s">
        <v>92</v>
      </c>
      <c r="B614" s="72" t="s">
        <v>226</v>
      </c>
      <c r="C614" s="72" t="s">
        <v>227</v>
      </c>
      <c r="D614" s="72" t="s">
        <v>228</v>
      </c>
      <c r="E614" s="73" t="s">
        <v>229</v>
      </c>
    </row>
    <row r="615" spans="1:5" x14ac:dyDescent="0.25">
      <c r="A615" s="74" t="s">
        <v>691</v>
      </c>
      <c r="B615" s="75">
        <f>INSUMOS!B148</f>
        <v>120000</v>
      </c>
      <c r="C615" s="103">
        <v>1</v>
      </c>
      <c r="D615" s="75">
        <f>C615*B615</f>
        <v>120000</v>
      </c>
      <c r="E615" s="102">
        <f>INSUMOS!E148</f>
        <v>3.2</v>
      </c>
    </row>
    <row r="616" spans="1:5" x14ac:dyDescent="0.25">
      <c r="A616" s="77" t="s">
        <v>658</v>
      </c>
      <c r="B616" s="78">
        <f>INSUMOS!B5</f>
        <v>154000</v>
      </c>
      <c r="C616" s="98">
        <v>0.2</v>
      </c>
      <c r="D616" s="75">
        <f>C616*B616</f>
        <v>30800</v>
      </c>
      <c r="E616" s="97">
        <f>C616*INSUMOS!E5</f>
        <v>3.1821229687322856</v>
      </c>
    </row>
    <row r="617" spans="1:5" x14ac:dyDescent="0.25">
      <c r="A617" s="77" t="s">
        <v>659</v>
      </c>
      <c r="B617" s="78">
        <f>INSUMOS!B297</f>
        <v>200000</v>
      </c>
      <c r="C617" s="98">
        <v>1</v>
      </c>
      <c r="D617" s="75">
        <f>C617*B617</f>
        <v>200000</v>
      </c>
      <c r="E617" s="105" t="s">
        <v>232</v>
      </c>
    </row>
    <row r="618" spans="1:5" x14ac:dyDescent="0.25">
      <c r="A618" s="77" t="s">
        <v>692</v>
      </c>
      <c r="B618" s="78">
        <f>INSUMOS!B349</f>
        <v>120000</v>
      </c>
      <c r="C618" s="98">
        <v>1</v>
      </c>
      <c r="D618" s="75">
        <f>C618*B618</f>
        <v>120000</v>
      </c>
      <c r="E618" s="105"/>
    </row>
    <row r="619" spans="1:5" x14ac:dyDescent="0.25">
      <c r="A619" s="77" t="s">
        <v>693</v>
      </c>
      <c r="B619" s="78">
        <f>INSUMOS!B312</f>
        <v>45000</v>
      </c>
      <c r="C619" s="98">
        <v>1</v>
      </c>
      <c r="D619" s="75">
        <f>C619*B619</f>
        <v>45000</v>
      </c>
      <c r="E619" s="105"/>
    </row>
    <row r="620" spans="1:5" x14ac:dyDescent="0.25">
      <c r="A620" s="82"/>
      <c r="B620" s="83"/>
      <c r="C620" s="83" t="s">
        <v>122</v>
      </c>
      <c r="D620" s="83">
        <f>SUM(D615:D619)</f>
        <v>515800</v>
      </c>
      <c r="E620" s="100">
        <f>SUM(E615:E619)</f>
        <v>6.3821229687322862</v>
      </c>
    </row>
    <row r="622" spans="1:5" x14ac:dyDescent="0.25">
      <c r="A622" s="279" t="s">
        <v>852</v>
      </c>
      <c r="B622" s="279"/>
      <c r="C622" s="279"/>
      <c r="D622" s="279"/>
      <c r="E622" s="279"/>
    </row>
    <row r="623" spans="1:5" x14ac:dyDescent="0.25">
      <c r="A623" s="72" t="s">
        <v>92</v>
      </c>
      <c r="B623" s="72" t="s">
        <v>226</v>
      </c>
      <c r="C623" s="72" t="s">
        <v>227</v>
      </c>
      <c r="D623" s="72" t="s">
        <v>228</v>
      </c>
      <c r="E623" s="73" t="s">
        <v>229</v>
      </c>
    </row>
    <row r="624" spans="1:5" x14ac:dyDescent="0.25">
      <c r="A624" s="74" t="s">
        <v>811</v>
      </c>
      <c r="B624" s="75">
        <f>INSUMOS!B153</f>
        <v>350000</v>
      </c>
      <c r="C624" s="103">
        <v>1</v>
      </c>
      <c r="D624" s="75">
        <f>C624*B624</f>
        <v>350000</v>
      </c>
      <c r="E624" s="102">
        <f>INSUMOS!E153</f>
        <v>22.5</v>
      </c>
    </row>
    <row r="625" spans="1:5" x14ac:dyDescent="0.25">
      <c r="A625" s="77" t="s">
        <v>741</v>
      </c>
      <c r="B625" s="78">
        <f>INSUMOS!B209</f>
        <v>280000</v>
      </c>
      <c r="C625" s="98">
        <v>1</v>
      </c>
      <c r="D625" s="75">
        <f>C625*B625</f>
        <v>280000</v>
      </c>
      <c r="E625" s="97">
        <f>INSUMOS!E209</f>
        <v>6</v>
      </c>
    </row>
    <row r="626" spans="1:5" x14ac:dyDescent="0.25">
      <c r="A626" s="77" t="s">
        <v>736</v>
      </c>
      <c r="B626" s="78">
        <f>INSUMOS!B354</f>
        <v>530000</v>
      </c>
      <c r="C626" s="98">
        <v>1</v>
      </c>
      <c r="D626" s="75">
        <f>C626*B626</f>
        <v>530000</v>
      </c>
      <c r="E626" s="105" t="s">
        <v>232</v>
      </c>
    </row>
    <row r="627" spans="1:5" x14ac:dyDescent="0.25">
      <c r="A627" s="77" t="s">
        <v>750</v>
      </c>
      <c r="B627" s="78">
        <f>INSUMOS!B373</f>
        <v>180000</v>
      </c>
      <c r="C627" s="98">
        <v>1</v>
      </c>
      <c r="D627" s="75">
        <f>C627*B627</f>
        <v>180000</v>
      </c>
      <c r="E627" s="105"/>
    </row>
    <row r="628" spans="1:5" x14ac:dyDescent="0.25">
      <c r="A628" s="77" t="s">
        <v>737</v>
      </c>
      <c r="B628" s="78">
        <f>INSUMOS!B317</f>
        <v>100000</v>
      </c>
      <c r="C628" s="98">
        <v>1</v>
      </c>
      <c r="D628" s="75">
        <f>C628*B628</f>
        <v>100000</v>
      </c>
      <c r="E628" s="105"/>
    </row>
    <row r="629" spans="1:5" x14ac:dyDescent="0.25">
      <c r="A629" s="82"/>
      <c r="B629" s="83"/>
      <c r="C629" s="83" t="s">
        <v>122</v>
      </c>
      <c r="D629" s="83">
        <f>SUM(D624:D628)</f>
        <v>1440000</v>
      </c>
      <c r="E629" s="100">
        <f>SUM(E624:E628)</f>
        <v>28.5</v>
      </c>
    </row>
    <row r="631" spans="1:5" x14ac:dyDescent="0.25">
      <c r="A631" s="279" t="s">
        <v>853</v>
      </c>
      <c r="B631" s="279"/>
      <c r="C631" s="279"/>
      <c r="D631" s="279"/>
      <c r="E631" s="279"/>
    </row>
    <row r="632" spans="1:5" x14ac:dyDescent="0.25">
      <c r="A632" s="72" t="s">
        <v>92</v>
      </c>
      <c r="B632" s="72" t="s">
        <v>226</v>
      </c>
      <c r="C632" s="72" t="s">
        <v>227</v>
      </c>
      <c r="D632" s="72" t="s">
        <v>228</v>
      </c>
      <c r="E632" s="73" t="s">
        <v>229</v>
      </c>
    </row>
    <row r="633" spans="1:5" x14ac:dyDescent="0.25">
      <c r="A633" s="74" t="s">
        <v>821</v>
      </c>
      <c r="B633" s="75">
        <f>INSUMOS!B168</f>
        <v>1105000</v>
      </c>
      <c r="C633" s="103">
        <v>1</v>
      </c>
      <c r="D633" s="75">
        <f>C633*B633</f>
        <v>1105000</v>
      </c>
      <c r="E633" s="102">
        <f>INSUMOS!E168</f>
        <v>28.5</v>
      </c>
    </row>
    <row r="634" spans="1:5" x14ac:dyDescent="0.25">
      <c r="A634" s="77" t="s">
        <v>854</v>
      </c>
      <c r="B634" s="78">
        <f>INSUMOS!B216</f>
        <v>310000</v>
      </c>
      <c r="C634" s="98">
        <v>1</v>
      </c>
      <c r="D634" s="75">
        <f>C634*B634</f>
        <v>310000</v>
      </c>
      <c r="E634" s="97">
        <f>INSUMOS!E216</f>
        <v>7</v>
      </c>
    </row>
    <row r="635" spans="1:5" x14ac:dyDescent="0.25">
      <c r="A635" s="77" t="s">
        <v>687</v>
      </c>
      <c r="B635" s="78">
        <f>INSUMOS!B355</f>
        <v>600000</v>
      </c>
      <c r="C635" s="98">
        <v>1</v>
      </c>
      <c r="D635" s="75">
        <f>C635*B635</f>
        <v>600000</v>
      </c>
      <c r="E635" s="105" t="s">
        <v>232</v>
      </c>
    </row>
    <row r="636" spans="1:5" x14ac:dyDescent="0.25">
      <c r="A636" s="77" t="s">
        <v>688</v>
      </c>
      <c r="B636" s="78">
        <f>INSUMOS!B374</f>
        <v>260000</v>
      </c>
      <c r="C636" s="98">
        <v>1</v>
      </c>
      <c r="D636" s="75">
        <f>C636*B636</f>
        <v>260000</v>
      </c>
      <c r="E636" s="105"/>
    </row>
    <row r="637" spans="1:5" x14ac:dyDescent="0.25">
      <c r="A637" s="77" t="s">
        <v>689</v>
      </c>
      <c r="B637" s="78">
        <f>INSUMOS!B318</f>
        <v>120000</v>
      </c>
      <c r="C637" s="98">
        <v>1</v>
      </c>
      <c r="D637" s="75">
        <f>C637*B637</f>
        <v>120000</v>
      </c>
      <c r="E637" s="105"/>
    </row>
    <row r="638" spans="1:5" x14ac:dyDescent="0.25">
      <c r="A638" s="82"/>
      <c r="B638" s="83"/>
      <c r="C638" s="83" t="s">
        <v>122</v>
      </c>
      <c r="D638" s="83">
        <f>SUM(D633:D637)</f>
        <v>2395000</v>
      </c>
      <c r="E638" s="100">
        <f>SUM(E633:E637)</f>
        <v>35.5</v>
      </c>
    </row>
    <row r="640" spans="1:5" x14ac:dyDescent="0.25">
      <c r="A640" s="279" t="s">
        <v>855</v>
      </c>
      <c r="B640" s="279"/>
      <c r="C640" s="279"/>
      <c r="D640" s="279"/>
      <c r="E640" s="279"/>
    </row>
    <row r="641" spans="1:5" x14ac:dyDescent="0.25">
      <c r="A641" s="72" t="s">
        <v>92</v>
      </c>
      <c r="B641" s="72" t="s">
        <v>93</v>
      </c>
      <c r="C641" s="72" t="s">
        <v>227</v>
      </c>
      <c r="D641" s="72" t="s">
        <v>228</v>
      </c>
      <c r="E641" s="73" t="s">
        <v>229</v>
      </c>
    </row>
    <row r="642" spans="1:5" x14ac:dyDescent="0.25">
      <c r="A642" s="74" t="s">
        <v>856</v>
      </c>
      <c r="B642" s="75">
        <f>INSUMOS!B156</f>
        <v>1300000</v>
      </c>
      <c r="C642" s="103">
        <v>1</v>
      </c>
      <c r="D642" s="75">
        <f t="shared" ref="D642:D647" si="10">C642*B642</f>
        <v>1300000</v>
      </c>
      <c r="E642" s="102">
        <f>INSUMOS!E156</f>
        <v>42</v>
      </c>
    </row>
    <row r="643" spans="1:5" x14ac:dyDescent="0.25">
      <c r="A643" s="77" t="s">
        <v>857</v>
      </c>
      <c r="B643" s="78">
        <f>INSUMOS!B212</f>
        <v>550000</v>
      </c>
      <c r="C643" s="98">
        <v>1</v>
      </c>
      <c r="D643" s="75">
        <f t="shared" si="10"/>
        <v>550000</v>
      </c>
      <c r="E643" s="97">
        <f>INSUMOS!E212</f>
        <v>13</v>
      </c>
    </row>
    <row r="644" spans="1:5" x14ac:dyDescent="0.25">
      <c r="A644" s="77" t="s">
        <v>805</v>
      </c>
      <c r="B644" s="78">
        <f>INSUMOS!B400</f>
        <v>170000</v>
      </c>
      <c r="C644" s="98">
        <v>1</v>
      </c>
      <c r="D644" s="75">
        <f t="shared" si="10"/>
        <v>170000</v>
      </c>
      <c r="E644" s="97"/>
    </row>
    <row r="645" spans="1:5" x14ac:dyDescent="0.25">
      <c r="A645" s="77" t="s">
        <v>789</v>
      </c>
      <c r="B645" s="78">
        <f>INSUMOS!B357</f>
        <v>680000</v>
      </c>
      <c r="C645" s="98">
        <v>1</v>
      </c>
      <c r="D645" s="75">
        <f t="shared" si="10"/>
        <v>680000</v>
      </c>
      <c r="E645" s="105" t="s">
        <v>232</v>
      </c>
    </row>
    <row r="646" spans="1:5" x14ac:dyDescent="0.25">
      <c r="A646" s="77" t="s">
        <v>790</v>
      </c>
      <c r="B646" s="78">
        <f>INSUMOS!B376</f>
        <v>480000</v>
      </c>
      <c r="C646" s="98">
        <v>1</v>
      </c>
      <c r="D646" s="75">
        <f t="shared" si="10"/>
        <v>480000</v>
      </c>
      <c r="E646" s="105"/>
    </row>
    <row r="647" spans="1:5" x14ac:dyDescent="0.25">
      <c r="A647" s="77" t="s">
        <v>791</v>
      </c>
      <c r="B647" s="78">
        <f>INSUMOS!B320</f>
        <v>180000</v>
      </c>
      <c r="C647" s="98">
        <v>1</v>
      </c>
      <c r="D647" s="75">
        <f t="shared" si="10"/>
        <v>180000</v>
      </c>
      <c r="E647" s="105"/>
    </row>
    <row r="648" spans="1:5" x14ac:dyDescent="0.25">
      <c r="A648" s="82"/>
      <c r="B648" s="83"/>
      <c r="C648" s="83" t="s">
        <v>122</v>
      </c>
      <c r="D648" s="83">
        <f>SUM(D642:D647)</f>
        <v>3360000</v>
      </c>
      <c r="E648" s="100">
        <f>SUM(E642:E647)</f>
        <v>55</v>
      </c>
    </row>
    <row r="650" spans="1:5" x14ac:dyDescent="0.25">
      <c r="A650" s="279" t="s">
        <v>858</v>
      </c>
      <c r="B650" s="279"/>
      <c r="C650" s="279"/>
      <c r="D650" s="279"/>
      <c r="E650" s="279"/>
    </row>
    <row r="651" spans="1:5" x14ac:dyDescent="0.25">
      <c r="A651" s="72" t="s">
        <v>92</v>
      </c>
      <c r="B651" s="72" t="s">
        <v>226</v>
      </c>
      <c r="C651" s="72" t="s">
        <v>227</v>
      </c>
      <c r="D651" s="72" t="s">
        <v>228</v>
      </c>
      <c r="E651" s="73" t="s">
        <v>229</v>
      </c>
    </row>
    <row r="652" spans="1:5" x14ac:dyDescent="0.25">
      <c r="A652" s="74" t="s">
        <v>740</v>
      </c>
      <c r="B652" s="75">
        <f>INSUMOS!B155</f>
        <v>1100000</v>
      </c>
      <c r="C652" s="103">
        <v>1</v>
      </c>
      <c r="D652" s="75">
        <f>C652*B652</f>
        <v>1100000</v>
      </c>
      <c r="E652" s="102">
        <f>INSUMOS!E155</f>
        <v>42</v>
      </c>
    </row>
    <row r="653" spans="1:5" x14ac:dyDescent="0.25">
      <c r="A653" s="77" t="s">
        <v>749</v>
      </c>
      <c r="B653" s="78">
        <f>INSUMOS!B208</f>
        <v>260000</v>
      </c>
      <c r="C653" s="98">
        <v>1</v>
      </c>
      <c r="D653" s="75">
        <f>C653*B653</f>
        <v>260000</v>
      </c>
      <c r="E653" s="97">
        <f>INSUMOS!E208</f>
        <v>5</v>
      </c>
    </row>
    <row r="654" spans="1:5" x14ac:dyDescent="0.25">
      <c r="A654" s="77" t="s">
        <v>742</v>
      </c>
      <c r="B654" s="78">
        <f>INSUMOS!B356</f>
        <v>620000</v>
      </c>
      <c r="C654" s="98">
        <v>1</v>
      </c>
      <c r="D654" s="75">
        <f>C654*B654</f>
        <v>620000</v>
      </c>
      <c r="E654" s="105" t="s">
        <v>232</v>
      </c>
    </row>
    <row r="655" spans="1:5" x14ac:dyDescent="0.25">
      <c r="A655" s="77" t="s">
        <v>743</v>
      </c>
      <c r="B655" s="78">
        <f>INSUMOS!B375</f>
        <v>330000</v>
      </c>
      <c r="C655" s="98">
        <v>1</v>
      </c>
      <c r="D655" s="75">
        <f>C655*B655</f>
        <v>330000</v>
      </c>
      <c r="E655" s="105"/>
    </row>
    <row r="656" spans="1:5" x14ac:dyDescent="0.25">
      <c r="A656" s="77" t="s">
        <v>744</v>
      </c>
      <c r="B656" s="78">
        <f>INSUMOS!B319</f>
        <v>150000</v>
      </c>
      <c r="C656" s="98">
        <v>1</v>
      </c>
      <c r="D656" s="75">
        <f>C656*B656</f>
        <v>150000</v>
      </c>
      <c r="E656" s="105"/>
    </row>
    <row r="657" spans="1:5" x14ac:dyDescent="0.25">
      <c r="A657" s="82"/>
      <c r="B657" s="83"/>
      <c r="C657" s="83" t="s">
        <v>122</v>
      </c>
      <c r="D657" s="83">
        <f>SUM(D652:D656)</f>
        <v>2460000</v>
      </c>
      <c r="E657" s="100">
        <f>SUM(E652:E656)</f>
        <v>47</v>
      </c>
    </row>
    <row r="659" spans="1:5" x14ac:dyDescent="0.25">
      <c r="A659" s="279" t="s">
        <v>859</v>
      </c>
      <c r="B659" s="279"/>
      <c r="C659" s="279"/>
      <c r="D659" s="279"/>
      <c r="E659" s="279"/>
    </row>
    <row r="660" spans="1:5" x14ac:dyDescent="0.25">
      <c r="A660" s="72" t="s">
        <v>92</v>
      </c>
      <c r="B660" s="72" t="s">
        <v>226</v>
      </c>
      <c r="C660" s="72" t="s">
        <v>227</v>
      </c>
      <c r="D660" s="72" t="s">
        <v>228</v>
      </c>
      <c r="E660" s="73" t="s">
        <v>229</v>
      </c>
    </row>
    <row r="661" spans="1:5" x14ac:dyDescent="0.25">
      <c r="A661" s="74" t="s">
        <v>720</v>
      </c>
      <c r="B661" s="75">
        <f>INSUMOS!B150</f>
        <v>180000</v>
      </c>
      <c r="C661" s="103">
        <v>1</v>
      </c>
      <c r="D661" s="75">
        <f>C661*B661</f>
        <v>180000</v>
      </c>
      <c r="E661" s="102">
        <f>INSUMOS!E150</f>
        <v>5.5</v>
      </c>
    </row>
    <row r="662" spans="1:5" x14ac:dyDescent="0.25">
      <c r="A662" s="77" t="s">
        <v>860</v>
      </c>
      <c r="B662" s="78">
        <f>INSUMOS!B209</f>
        <v>280000</v>
      </c>
      <c r="C662" s="98">
        <v>1</v>
      </c>
      <c r="D662" s="75">
        <f>C662*B662</f>
        <v>280000</v>
      </c>
      <c r="E662" s="97">
        <f>INSUMOS!E209</f>
        <v>6</v>
      </c>
    </row>
    <row r="663" spans="1:5" x14ac:dyDescent="0.25">
      <c r="A663" s="77" t="s">
        <v>721</v>
      </c>
      <c r="B663" s="78">
        <f>INSUMOS!B351</f>
        <v>200000</v>
      </c>
      <c r="C663" s="98">
        <v>1</v>
      </c>
      <c r="D663" s="75">
        <f>C663*B663</f>
        <v>200000</v>
      </c>
      <c r="E663" s="105"/>
    </row>
    <row r="664" spans="1:5" x14ac:dyDescent="0.25">
      <c r="A664" s="77" t="s">
        <v>722</v>
      </c>
      <c r="B664" s="78">
        <f>INSUMOS!B314</f>
        <v>60000</v>
      </c>
      <c r="C664" s="98">
        <v>1</v>
      </c>
      <c r="D664" s="75">
        <f>C664*B664</f>
        <v>60000</v>
      </c>
      <c r="E664" s="105"/>
    </row>
    <row r="665" spans="1:5" x14ac:dyDescent="0.25">
      <c r="A665" s="82"/>
      <c r="B665" s="83"/>
      <c r="C665" s="83" t="s">
        <v>122</v>
      </c>
      <c r="D665" s="83">
        <f>SUM(D661:D664)</f>
        <v>720000</v>
      </c>
      <c r="E665" s="100">
        <f>SUM(E661:E664)</f>
        <v>11.5</v>
      </c>
    </row>
    <row r="667" spans="1:5" x14ac:dyDescent="0.25">
      <c r="A667" s="279" t="s">
        <v>861</v>
      </c>
      <c r="B667" s="279"/>
      <c r="C667" s="279"/>
      <c r="D667" s="279"/>
      <c r="E667" s="279"/>
    </row>
    <row r="668" spans="1:5" x14ac:dyDescent="0.25">
      <c r="A668" s="72" t="s">
        <v>92</v>
      </c>
      <c r="B668" s="72" t="s">
        <v>226</v>
      </c>
      <c r="C668" s="72" t="s">
        <v>227</v>
      </c>
      <c r="D668" s="72" t="s">
        <v>228</v>
      </c>
      <c r="E668" s="73" t="s">
        <v>229</v>
      </c>
    </row>
    <row r="669" spans="1:5" x14ac:dyDescent="0.25">
      <c r="A669" s="74" t="s">
        <v>848</v>
      </c>
      <c r="B669" s="75">
        <f>INSUMOS!B131</f>
        <v>150000</v>
      </c>
      <c r="C669" s="103">
        <v>1</v>
      </c>
      <c r="D669" s="75">
        <f>C669*B669</f>
        <v>150000</v>
      </c>
      <c r="E669" s="102">
        <f>INSUMOS!E131</f>
        <v>4</v>
      </c>
    </row>
    <row r="670" spans="1:5" x14ac:dyDescent="0.25">
      <c r="A670" s="77" t="s">
        <v>862</v>
      </c>
      <c r="B670" s="78">
        <f>INSUMOS!B243</f>
        <v>310000</v>
      </c>
      <c r="C670" s="98">
        <v>1</v>
      </c>
      <c r="D670" s="75">
        <f>C670*B670</f>
        <v>310000</v>
      </c>
      <c r="E670" s="97">
        <f>INSUMOS!E243</f>
        <v>6</v>
      </c>
    </row>
    <row r="671" spans="1:5" x14ac:dyDescent="0.25">
      <c r="A671" s="77" t="s">
        <v>672</v>
      </c>
      <c r="B671" s="78">
        <f>INSUMOS!B289</f>
        <v>100000</v>
      </c>
      <c r="C671" s="98">
        <v>1</v>
      </c>
      <c r="D671" s="75">
        <f>C671*B671</f>
        <v>100000</v>
      </c>
      <c r="E671" s="105"/>
    </row>
    <row r="672" spans="1:5" x14ac:dyDescent="0.25">
      <c r="A672" s="77" t="s">
        <v>673</v>
      </c>
      <c r="B672" s="78">
        <f>INSUMOS!B303</f>
        <v>50000</v>
      </c>
      <c r="C672" s="98">
        <v>1</v>
      </c>
      <c r="D672" s="75">
        <f>C672*B672</f>
        <v>50000</v>
      </c>
      <c r="E672" s="105"/>
    </row>
    <row r="673" spans="1:5" x14ac:dyDescent="0.25">
      <c r="A673" s="82"/>
      <c r="B673" s="83"/>
      <c r="C673" s="83" t="s">
        <v>122</v>
      </c>
      <c r="D673" s="83">
        <f>SUM(D669:D672)</f>
        <v>610000</v>
      </c>
      <c r="E673" s="100">
        <f>SUM(E669:E672)</f>
        <v>10</v>
      </c>
    </row>
    <row r="675" spans="1:5" x14ac:dyDescent="0.25">
      <c r="A675" s="279" t="s">
        <v>863</v>
      </c>
      <c r="B675" s="279"/>
      <c r="C675" s="279"/>
      <c r="D675" s="279"/>
      <c r="E675" s="279"/>
    </row>
    <row r="676" spans="1:5" x14ac:dyDescent="0.25">
      <c r="A676" s="72" t="s">
        <v>92</v>
      </c>
      <c r="B676" s="72" t="s">
        <v>226</v>
      </c>
      <c r="C676" s="72" t="s">
        <v>227</v>
      </c>
      <c r="D676" s="72" t="s">
        <v>228</v>
      </c>
      <c r="E676" s="73" t="s">
        <v>229</v>
      </c>
    </row>
    <row r="677" spans="1:5" x14ac:dyDescent="0.25">
      <c r="A677" s="74" t="s">
        <v>816</v>
      </c>
      <c r="B677" s="75">
        <f>INSUMOS!B161</f>
        <v>147000</v>
      </c>
      <c r="C677" s="103">
        <v>1</v>
      </c>
      <c r="D677" s="75">
        <f>C677*B677</f>
        <v>147000</v>
      </c>
      <c r="E677" s="102">
        <f>INSUMOS!E161</f>
        <v>1.6</v>
      </c>
    </row>
    <row r="678" spans="1:5" x14ac:dyDescent="0.25">
      <c r="A678" s="77" t="s">
        <v>671</v>
      </c>
      <c r="B678" s="78">
        <f>INSUMOS!B16</f>
        <v>240000</v>
      </c>
      <c r="C678" s="98">
        <v>0.15</v>
      </c>
      <c r="D678" s="75">
        <f>C678*B678</f>
        <v>36000</v>
      </c>
      <c r="E678" s="97">
        <f>C678*INSUMOS!E16</f>
        <v>2.3865922265492139</v>
      </c>
    </row>
    <row r="679" spans="1:5" x14ac:dyDescent="0.25">
      <c r="A679" s="77" t="s">
        <v>659</v>
      </c>
      <c r="B679" s="78">
        <f>INSUMOS!B297</f>
        <v>200000</v>
      </c>
      <c r="C679" s="98">
        <v>1</v>
      </c>
      <c r="D679" s="75">
        <f>C679*B679</f>
        <v>200000</v>
      </c>
      <c r="E679" s="105" t="s">
        <v>232</v>
      </c>
    </row>
    <row r="680" spans="1:5" x14ac:dyDescent="0.25">
      <c r="A680" s="77" t="s">
        <v>682</v>
      </c>
      <c r="B680" s="78">
        <f>INSUMOS!B348</f>
        <v>120000</v>
      </c>
      <c r="C680" s="98">
        <v>1</v>
      </c>
      <c r="D680" s="75">
        <f>C680*B680</f>
        <v>120000</v>
      </c>
      <c r="E680" s="105"/>
    </row>
    <row r="681" spans="1:5" x14ac:dyDescent="0.25">
      <c r="A681" s="77" t="s">
        <v>683</v>
      </c>
      <c r="B681" s="78">
        <f>INSUMOS!B311</f>
        <v>35000</v>
      </c>
      <c r="C681" s="98">
        <v>1</v>
      </c>
      <c r="D681" s="75">
        <f>C681*B681</f>
        <v>35000</v>
      </c>
      <c r="E681" s="105"/>
    </row>
    <row r="682" spans="1:5" x14ac:dyDescent="0.25">
      <c r="A682" s="82"/>
      <c r="B682" s="83"/>
      <c r="C682" s="83" t="s">
        <v>122</v>
      </c>
      <c r="D682" s="83">
        <f>SUM(D677:D681)</f>
        <v>538000</v>
      </c>
      <c r="E682" s="100">
        <f>SUM(E677:E681)</f>
        <v>3.986592226549214</v>
      </c>
    </row>
    <row r="684" spans="1:5" x14ac:dyDescent="0.25">
      <c r="A684" s="279" t="s">
        <v>864</v>
      </c>
      <c r="B684" s="279"/>
      <c r="C684" s="279"/>
      <c r="D684" s="279"/>
      <c r="E684" s="279"/>
    </row>
    <row r="685" spans="1:5" x14ac:dyDescent="0.25">
      <c r="A685" s="72" t="s">
        <v>92</v>
      </c>
      <c r="B685" s="72" t="s">
        <v>226</v>
      </c>
      <c r="C685" s="72" t="s">
        <v>227</v>
      </c>
      <c r="D685" s="72" t="s">
        <v>228</v>
      </c>
      <c r="E685" s="73" t="s">
        <v>229</v>
      </c>
    </row>
    <row r="686" spans="1:5" x14ac:dyDescent="0.25">
      <c r="A686" s="74" t="s">
        <v>865</v>
      </c>
      <c r="B686" s="75">
        <f>INSUMOS!B152</f>
        <v>230000</v>
      </c>
      <c r="C686" s="103">
        <v>1</v>
      </c>
      <c r="D686" s="75">
        <f>C686*B686</f>
        <v>230000</v>
      </c>
      <c r="E686" s="102">
        <f>INSUMOS!E152</f>
        <v>11.3</v>
      </c>
    </row>
    <row r="687" spans="1:5" x14ac:dyDescent="0.25">
      <c r="A687" s="77" t="s">
        <v>658</v>
      </c>
      <c r="B687" s="78">
        <f>INSUMOS!B5</f>
        <v>154000</v>
      </c>
      <c r="C687" s="98">
        <v>0.15</v>
      </c>
      <c r="D687" s="75">
        <f>C687*B687</f>
        <v>23100</v>
      </c>
      <c r="E687" s="97">
        <f>C687*INSUMOS!E5</f>
        <v>2.3865922265492139</v>
      </c>
    </row>
    <row r="688" spans="1:5" x14ac:dyDescent="0.25">
      <c r="A688" s="77" t="s">
        <v>659</v>
      </c>
      <c r="B688" s="78">
        <f>INSUMOS!B297</f>
        <v>200000</v>
      </c>
      <c r="C688" s="98">
        <v>1</v>
      </c>
      <c r="D688" s="75">
        <f>C688*B688</f>
        <v>200000</v>
      </c>
      <c r="E688" s="105" t="s">
        <v>232</v>
      </c>
    </row>
    <row r="689" spans="1:5" x14ac:dyDescent="0.25">
      <c r="A689" s="77" t="s">
        <v>731</v>
      </c>
      <c r="B689" s="78">
        <f>INSUMOS!B353</f>
        <v>250000</v>
      </c>
      <c r="C689" s="98">
        <v>1</v>
      </c>
      <c r="D689" s="75">
        <f>C689*B689</f>
        <v>250000</v>
      </c>
      <c r="E689" s="105"/>
    </row>
    <row r="690" spans="1:5" x14ac:dyDescent="0.25">
      <c r="A690" s="77" t="s">
        <v>732</v>
      </c>
      <c r="B690" s="78">
        <f>INSUMOS!B316</f>
        <v>80000</v>
      </c>
      <c r="C690" s="98">
        <v>1</v>
      </c>
      <c r="D690" s="75">
        <f>C690*B690</f>
        <v>80000</v>
      </c>
      <c r="E690" s="105"/>
    </row>
    <row r="691" spans="1:5" x14ac:dyDescent="0.25">
      <c r="A691" s="82"/>
      <c r="B691" s="83"/>
      <c r="C691" s="83" t="s">
        <v>122</v>
      </c>
      <c r="D691" s="83">
        <f>SUM(D686:D690)</f>
        <v>783100</v>
      </c>
      <c r="E691" s="100">
        <f>SUM(E686:E690)</f>
        <v>13.686592226549214</v>
      </c>
    </row>
    <row r="693" spans="1:5" x14ac:dyDescent="0.25">
      <c r="A693" s="279" t="s">
        <v>866</v>
      </c>
      <c r="B693" s="279"/>
      <c r="C693" s="279"/>
      <c r="D693" s="279"/>
      <c r="E693" s="279"/>
    </row>
    <row r="694" spans="1:5" x14ac:dyDescent="0.25">
      <c r="A694" s="72" t="s">
        <v>92</v>
      </c>
      <c r="B694" s="72" t="s">
        <v>226</v>
      </c>
      <c r="C694" s="72" t="s">
        <v>227</v>
      </c>
      <c r="D694" s="72" t="s">
        <v>228</v>
      </c>
      <c r="E694" s="73" t="s">
        <v>229</v>
      </c>
    </row>
    <row r="695" spans="1:5" x14ac:dyDescent="0.25">
      <c r="A695" s="74" t="s">
        <v>681</v>
      </c>
      <c r="B695" s="75">
        <f>INSUMOS!B147</f>
        <v>105000</v>
      </c>
      <c r="C695" s="103">
        <v>1</v>
      </c>
      <c r="D695" s="75">
        <f>C695*B695</f>
        <v>105000</v>
      </c>
      <c r="E695" s="102">
        <f>+INSUMOS!E147</f>
        <v>1.6</v>
      </c>
    </row>
    <row r="696" spans="1:5" x14ac:dyDescent="0.25">
      <c r="A696" s="77" t="s">
        <v>658</v>
      </c>
      <c r="B696" s="78">
        <f>INSUMOS!B5</f>
        <v>154000</v>
      </c>
      <c r="C696" s="98">
        <v>0.15</v>
      </c>
      <c r="D696" s="75">
        <f>C696*B696</f>
        <v>23100</v>
      </c>
      <c r="E696" s="97">
        <f>C696*INSUMOS!E5</f>
        <v>2.3865922265492139</v>
      </c>
    </row>
    <row r="697" spans="1:5" x14ac:dyDescent="0.25">
      <c r="A697" s="77" t="s">
        <v>659</v>
      </c>
      <c r="B697" s="78">
        <f>INSUMOS!B297</f>
        <v>200000</v>
      </c>
      <c r="C697" s="98">
        <v>1</v>
      </c>
      <c r="D697" s="75">
        <f>C697*B697</f>
        <v>200000</v>
      </c>
      <c r="E697" s="105" t="s">
        <v>232</v>
      </c>
    </row>
    <row r="698" spans="1:5" x14ac:dyDescent="0.25">
      <c r="A698" s="77" t="s">
        <v>682</v>
      </c>
      <c r="B698" s="78">
        <f>INSUMOS!B348</f>
        <v>120000</v>
      </c>
      <c r="C698" s="98">
        <v>1</v>
      </c>
      <c r="D698" s="75">
        <f>C698*B698</f>
        <v>120000</v>
      </c>
      <c r="E698" s="105"/>
    </row>
    <row r="699" spans="1:5" x14ac:dyDescent="0.25">
      <c r="A699" s="77" t="s">
        <v>683</v>
      </c>
      <c r="B699" s="78">
        <f>INSUMOS!B311</f>
        <v>35000</v>
      </c>
      <c r="C699" s="98">
        <v>1</v>
      </c>
      <c r="D699" s="75">
        <f>C699*B699</f>
        <v>35000</v>
      </c>
      <c r="E699" s="105"/>
    </row>
    <row r="700" spans="1:5" x14ac:dyDescent="0.25">
      <c r="A700" s="82"/>
      <c r="B700" s="83"/>
      <c r="C700" s="83" t="s">
        <v>122</v>
      </c>
      <c r="D700" s="83">
        <f>SUM(D695:D699)</f>
        <v>483100</v>
      </c>
      <c r="E700" s="100">
        <f>SUM(E695:E699)</f>
        <v>3.986592226549214</v>
      </c>
    </row>
    <row r="702" spans="1:5" x14ac:dyDescent="0.25">
      <c r="A702" s="279" t="s">
        <v>867</v>
      </c>
      <c r="B702" s="279"/>
      <c r="C702" s="279"/>
      <c r="D702" s="279"/>
      <c r="E702" s="279"/>
    </row>
    <row r="703" spans="1:5" x14ac:dyDescent="0.25">
      <c r="A703" s="72" t="s">
        <v>92</v>
      </c>
      <c r="B703" s="72" t="s">
        <v>93</v>
      </c>
      <c r="C703" s="72" t="s">
        <v>227</v>
      </c>
      <c r="D703" s="72" t="s">
        <v>228</v>
      </c>
      <c r="E703" s="114" t="s">
        <v>229</v>
      </c>
    </row>
    <row r="704" spans="1:5" x14ac:dyDescent="0.25">
      <c r="A704" s="74" t="s">
        <v>868</v>
      </c>
      <c r="B704" s="75">
        <f>INSUMOS!B185</f>
        <v>1625000</v>
      </c>
      <c r="C704" s="103">
        <v>1</v>
      </c>
      <c r="D704" s="75">
        <f t="shared" ref="D704:D709" si="11">C704*B704</f>
        <v>1625000</v>
      </c>
      <c r="E704" s="102">
        <f>INSUMOS!E180</f>
        <v>62</v>
      </c>
    </row>
    <row r="705" spans="1:5" x14ac:dyDescent="0.25">
      <c r="A705" s="77" t="s">
        <v>869</v>
      </c>
      <c r="B705" s="78">
        <f>INSUMOS!B228</f>
        <v>276000</v>
      </c>
      <c r="C705" s="98">
        <v>1</v>
      </c>
      <c r="D705" s="75">
        <f t="shared" si="11"/>
        <v>276000</v>
      </c>
      <c r="E705" s="97">
        <f>INSUMOS!E228</f>
        <v>8</v>
      </c>
    </row>
    <row r="706" spans="1:5" x14ac:dyDescent="0.25">
      <c r="A706" s="77" t="s">
        <v>870</v>
      </c>
      <c r="B706" s="78">
        <f>INSUMOS!B409</f>
        <v>210000</v>
      </c>
      <c r="C706" s="98">
        <v>1</v>
      </c>
      <c r="D706" s="75">
        <f t="shared" si="11"/>
        <v>210000</v>
      </c>
      <c r="E706" s="97"/>
    </row>
    <row r="707" spans="1:5" x14ac:dyDescent="0.25">
      <c r="A707" s="77" t="s">
        <v>871</v>
      </c>
      <c r="B707" s="78">
        <f>INSUMOS!B370</f>
        <v>760000</v>
      </c>
      <c r="C707" s="98">
        <v>1</v>
      </c>
      <c r="D707" s="75">
        <f t="shared" si="11"/>
        <v>760000</v>
      </c>
      <c r="E707" s="105" t="s">
        <v>232</v>
      </c>
    </row>
    <row r="708" spans="1:5" x14ac:dyDescent="0.25">
      <c r="A708" s="77" t="s">
        <v>872</v>
      </c>
      <c r="B708" s="78">
        <f>INSUMOS!B390</f>
        <v>220000</v>
      </c>
      <c r="C708" s="98">
        <v>1</v>
      </c>
      <c r="D708" s="75">
        <f t="shared" si="11"/>
        <v>220000</v>
      </c>
      <c r="E708" s="105"/>
    </row>
    <row r="709" spans="1:5" x14ac:dyDescent="0.25">
      <c r="A709" s="77" t="s">
        <v>873</v>
      </c>
      <c r="B709" s="78">
        <f>INSUMOS!B344</f>
        <v>250000</v>
      </c>
      <c r="C709" s="98">
        <v>1</v>
      </c>
      <c r="D709" s="75">
        <f t="shared" si="11"/>
        <v>250000</v>
      </c>
      <c r="E709" s="105"/>
    </row>
    <row r="710" spans="1:5" x14ac:dyDescent="0.25">
      <c r="A710" s="82"/>
      <c r="B710" s="83"/>
      <c r="C710" s="83" t="s">
        <v>122</v>
      </c>
      <c r="D710" s="83">
        <f>SUM(D704:D709)</f>
        <v>3341000</v>
      </c>
      <c r="E710" s="100">
        <f>SUM(E704:E709)</f>
        <v>70</v>
      </c>
    </row>
    <row r="712" spans="1:5" x14ac:dyDescent="0.25">
      <c r="A712" s="279" t="s">
        <v>874</v>
      </c>
      <c r="B712" s="279"/>
      <c r="C712" s="279"/>
      <c r="D712" s="279"/>
      <c r="E712" s="279"/>
    </row>
    <row r="713" spans="1:5" x14ac:dyDescent="0.25">
      <c r="A713" s="72" t="s">
        <v>92</v>
      </c>
      <c r="B713" s="72" t="s">
        <v>93</v>
      </c>
      <c r="C713" s="72" t="s">
        <v>227</v>
      </c>
      <c r="D713" s="72" t="s">
        <v>228</v>
      </c>
      <c r="E713" s="114" t="s">
        <v>229</v>
      </c>
    </row>
    <row r="714" spans="1:5" x14ac:dyDescent="0.25">
      <c r="A714" s="74" t="s">
        <v>875</v>
      </c>
      <c r="B714" s="75">
        <f>INSUMOS!B180</f>
        <v>1250000</v>
      </c>
      <c r="C714" s="103">
        <v>1</v>
      </c>
      <c r="D714" s="75">
        <f t="shared" ref="D714:D719" si="12">C714*B714</f>
        <v>1250000</v>
      </c>
      <c r="E714" s="102">
        <f>INSUMOS!E180</f>
        <v>62</v>
      </c>
    </row>
    <row r="715" spans="1:5" x14ac:dyDescent="0.25">
      <c r="A715" s="77" t="s">
        <v>876</v>
      </c>
      <c r="B715" s="78">
        <f>INSUMOS!B223</f>
        <v>230000</v>
      </c>
      <c r="C715" s="98">
        <v>1</v>
      </c>
      <c r="D715" s="75">
        <f t="shared" si="12"/>
        <v>230000</v>
      </c>
      <c r="E715" s="97">
        <f>INSUMOS!E223</f>
        <v>8</v>
      </c>
    </row>
    <row r="716" spans="1:5" x14ac:dyDescent="0.25">
      <c r="A716" s="77" t="s">
        <v>870</v>
      </c>
      <c r="B716" s="78">
        <f>INSUMOS!B409</f>
        <v>210000</v>
      </c>
      <c r="C716" s="98">
        <v>1</v>
      </c>
      <c r="D716" s="75">
        <f t="shared" si="12"/>
        <v>210000</v>
      </c>
      <c r="E716" s="97"/>
    </row>
    <row r="717" spans="1:5" x14ac:dyDescent="0.25">
      <c r="A717" s="77" t="s">
        <v>871</v>
      </c>
      <c r="B717" s="78">
        <f>INSUMOS!B370</f>
        <v>760000</v>
      </c>
      <c r="C717" s="98">
        <v>1</v>
      </c>
      <c r="D717" s="75">
        <f t="shared" si="12"/>
        <v>760000</v>
      </c>
      <c r="E717" s="105" t="s">
        <v>232</v>
      </c>
    </row>
    <row r="718" spans="1:5" x14ac:dyDescent="0.25">
      <c r="A718" s="77" t="s">
        <v>872</v>
      </c>
      <c r="B718" s="78">
        <f>INSUMOS!B390</f>
        <v>220000</v>
      </c>
      <c r="C718" s="98">
        <v>1</v>
      </c>
      <c r="D718" s="75">
        <f t="shared" si="12"/>
        <v>220000</v>
      </c>
      <c r="E718" s="105"/>
    </row>
    <row r="719" spans="1:5" x14ac:dyDescent="0.25">
      <c r="A719" s="77" t="s">
        <v>873</v>
      </c>
      <c r="B719" s="78">
        <f>INSUMOS!B344</f>
        <v>250000</v>
      </c>
      <c r="C719" s="98">
        <v>1</v>
      </c>
      <c r="D719" s="75">
        <f t="shared" si="12"/>
        <v>250000</v>
      </c>
      <c r="E719" s="105"/>
    </row>
    <row r="720" spans="1:5" x14ac:dyDescent="0.25">
      <c r="A720" s="82"/>
      <c r="B720" s="83"/>
      <c r="C720" s="83" t="s">
        <v>122</v>
      </c>
      <c r="D720" s="83">
        <f>SUM(D714:D719)</f>
        <v>2920000</v>
      </c>
      <c r="E720" s="100">
        <f>SUM(E714:E719)</f>
        <v>70</v>
      </c>
    </row>
    <row r="722" spans="1:5" x14ac:dyDescent="0.25">
      <c r="A722" s="279" t="s">
        <v>877</v>
      </c>
      <c r="B722" s="279"/>
      <c r="C722" s="279"/>
      <c r="D722" s="279"/>
      <c r="E722" s="279"/>
    </row>
    <row r="723" spans="1:5" x14ac:dyDescent="0.25">
      <c r="A723" s="71" t="s">
        <v>92</v>
      </c>
      <c r="B723" s="72" t="s">
        <v>226</v>
      </c>
      <c r="C723" s="72" t="s">
        <v>227</v>
      </c>
      <c r="D723" s="72" t="s">
        <v>228</v>
      </c>
      <c r="E723" s="73" t="s">
        <v>229</v>
      </c>
    </row>
    <row r="724" spans="1:5" x14ac:dyDescent="0.25">
      <c r="A724" s="74" t="s">
        <v>878</v>
      </c>
      <c r="B724" s="75">
        <f>INSUMOS!B165</f>
        <v>287000</v>
      </c>
      <c r="C724" s="103">
        <v>1</v>
      </c>
      <c r="D724" s="75">
        <f>C724*B724</f>
        <v>287000</v>
      </c>
      <c r="E724" s="102">
        <f>INSUMOS!E165</f>
        <v>9.8000000000000007</v>
      </c>
    </row>
    <row r="725" spans="1:5" x14ac:dyDescent="0.25">
      <c r="A725" s="77" t="s">
        <v>879</v>
      </c>
      <c r="B725" s="78">
        <f>INSUMOS!B216</f>
        <v>310000</v>
      </c>
      <c r="C725" s="98">
        <v>1</v>
      </c>
      <c r="D725" s="75">
        <f>C725*B725</f>
        <v>310000</v>
      </c>
      <c r="E725" s="97">
        <f>INSUMOS!E216</f>
        <v>7</v>
      </c>
    </row>
    <row r="726" spans="1:5" x14ac:dyDescent="0.25">
      <c r="A726" s="77" t="s">
        <v>726</v>
      </c>
      <c r="B726" s="78">
        <f>INSUMOS!B352</f>
        <v>230000</v>
      </c>
      <c r="C726" s="98">
        <v>1</v>
      </c>
      <c r="D726" s="75">
        <f>C726*B726</f>
        <v>230000</v>
      </c>
      <c r="E726" s="105" t="s">
        <v>232</v>
      </c>
    </row>
    <row r="727" spans="1:5" x14ac:dyDescent="0.25">
      <c r="A727" s="77" t="s">
        <v>727</v>
      </c>
      <c r="B727" s="78">
        <f>INSUMOS!B315</f>
        <v>70000</v>
      </c>
      <c r="C727" s="98">
        <v>1</v>
      </c>
      <c r="D727" s="75">
        <f>C727*B727</f>
        <v>70000</v>
      </c>
      <c r="E727" s="105"/>
    </row>
    <row r="728" spans="1:5" x14ac:dyDescent="0.25">
      <c r="A728" s="82"/>
      <c r="B728" s="83"/>
      <c r="C728" s="113" t="s">
        <v>122</v>
      </c>
      <c r="D728" s="83">
        <f>SUM(D724:D727)</f>
        <v>897000</v>
      </c>
      <c r="E728" s="100">
        <f>SUM(E724:E727)</f>
        <v>16.8</v>
      </c>
    </row>
    <row r="731" spans="1:5" x14ac:dyDescent="0.25">
      <c r="A731" s="279" t="s">
        <v>880</v>
      </c>
      <c r="B731" s="279"/>
      <c r="C731" s="279"/>
      <c r="D731" s="279"/>
      <c r="E731" s="279"/>
    </row>
    <row r="732" spans="1:5" x14ac:dyDescent="0.25">
      <c r="A732" s="72" t="s">
        <v>92</v>
      </c>
      <c r="B732" s="72" t="s">
        <v>226</v>
      </c>
      <c r="C732" s="72" t="s">
        <v>227</v>
      </c>
      <c r="D732" s="72" t="s">
        <v>228</v>
      </c>
      <c r="E732" s="73" t="s">
        <v>229</v>
      </c>
    </row>
    <row r="733" spans="1:5" x14ac:dyDescent="0.25">
      <c r="A733" s="74" t="s">
        <v>881</v>
      </c>
      <c r="B733" s="75">
        <f>INSUMOS!B150</f>
        <v>180000</v>
      </c>
      <c r="C733" s="103">
        <v>1</v>
      </c>
      <c r="D733" s="75">
        <f>C733*B733</f>
        <v>180000</v>
      </c>
      <c r="E733" s="102">
        <f>INSUMOS!E150</f>
        <v>5.5</v>
      </c>
    </row>
    <row r="734" spans="1:5" x14ac:dyDescent="0.25">
      <c r="A734" s="77" t="s">
        <v>882</v>
      </c>
      <c r="B734" s="78">
        <f>INSUMOS!B210</f>
        <v>325000</v>
      </c>
      <c r="C734" s="98">
        <v>1</v>
      </c>
      <c r="D734" s="75">
        <f>C734*B734</f>
        <v>325000</v>
      </c>
      <c r="E734" s="97">
        <f>INSUMOS!E210</f>
        <v>8</v>
      </c>
    </row>
    <row r="735" spans="1:5" x14ac:dyDescent="0.25">
      <c r="A735" s="77" t="s">
        <v>721</v>
      </c>
      <c r="B735" s="78">
        <f>INSUMOS!B351</f>
        <v>200000</v>
      </c>
      <c r="C735" s="98">
        <v>1</v>
      </c>
      <c r="D735" s="75">
        <f>C735*B735</f>
        <v>200000</v>
      </c>
      <c r="E735" s="105"/>
    </row>
    <row r="736" spans="1:5" x14ac:dyDescent="0.25">
      <c r="A736" s="77" t="s">
        <v>722</v>
      </c>
      <c r="B736" s="78">
        <f>INSUMOS!B314</f>
        <v>60000</v>
      </c>
      <c r="C736" s="98">
        <v>1</v>
      </c>
      <c r="D736" s="75">
        <f>C736*B736</f>
        <v>60000</v>
      </c>
      <c r="E736" s="105"/>
    </row>
    <row r="737" spans="1:5" x14ac:dyDescent="0.25">
      <c r="A737" s="82"/>
      <c r="B737" s="83"/>
      <c r="C737" s="83" t="s">
        <v>122</v>
      </c>
      <c r="D737" s="83">
        <f>SUM(D733:D736)</f>
        <v>765000</v>
      </c>
      <c r="E737" s="100">
        <f>SUM(E733:E736)</f>
        <v>13.5</v>
      </c>
    </row>
    <row r="740" spans="1:5" x14ac:dyDescent="0.25">
      <c r="A740" s="279" t="s">
        <v>883</v>
      </c>
      <c r="B740" s="279"/>
      <c r="C740" s="279"/>
      <c r="D740" s="279"/>
      <c r="E740" s="279"/>
    </row>
    <row r="741" spans="1:5" x14ac:dyDescent="0.25">
      <c r="A741" s="72" t="s">
        <v>92</v>
      </c>
      <c r="B741" s="72" t="s">
        <v>226</v>
      </c>
      <c r="C741" s="72" t="s">
        <v>227</v>
      </c>
      <c r="D741" s="72" t="s">
        <v>228</v>
      </c>
      <c r="E741" s="73" t="s">
        <v>229</v>
      </c>
    </row>
    <row r="742" spans="1:5" x14ac:dyDescent="0.25">
      <c r="A742" s="74" t="s">
        <v>685</v>
      </c>
      <c r="B742" s="75">
        <f>INSUMOS!B154</f>
        <v>850000</v>
      </c>
      <c r="C742" s="103">
        <v>1</v>
      </c>
      <c r="D742" s="75">
        <f>C742*B742</f>
        <v>850000</v>
      </c>
      <c r="E742" s="102">
        <f>INSUMOS!E154</f>
        <v>28.5</v>
      </c>
    </row>
    <row r="743" spans="1:5" x14ac:dyDescent="0.25">
      <c r="A743" s="77" t="s">
        <v>804</v>
      </c>
      <c r="B743" s="78">
        <f>INSUMOS!B212</f>
        <v>550000</v>
      </c>
      <c r="C743" s="98">
        <v>1</v>
      </c>
      <c r="D743" s="75">
        <f>C743*B743</f>
        <v>550000</v>
      </c>
      <c r="E743" s="97">
        <f>INSUMOS!E212</f>
        <v>13</v>
      </c>
    </row>
    <row r="744" spans="1:5" x14ac:dyDescent="0.25">
      <c r="A744" s="77" t="s">
        <v>687</v>
      </c>
      <c r="B744" s="78">
        <f>INSUMOS!B355</f>
        <v>600000</v>
      </c>
      <c r="C744" s="98">
        <v>1</v>
      </c>
      <c r="D744" s="75">
        <f>C744*B744</f>
        <v>600000</v>
      </c>
      <c r="E744" s="105" t="s">
        <v>232</v>
      </c>
    </row>
    <row r="745" spans="1:5" x14ac:dyDescent="0.25">
      <c r="A745" s="77" t="s">
        <v>688</v>
      </c>
      <c r="B745" s="78">
        <f>INSUMOS!B374</f>
        <v>260000</v>
      </c>
      <c r="C745" s="98">
        <v>1</v>
      </c>
      <c r="D745" s="75">
        <f>C745*B745</f>
        <v>260000</v>
      </c>
      <c r="E745" s="105"/>
    </row>
    <row r="746" spans="1:5" x14ac:dyDescent="0.25">
      <c r="A746" s="77" t="s">
        <v>689</v>
      </c>
      <c r="B746" s="78">
        <f>INSUMOS!B318</f>
        <v>120000</v>
      </c>
      <c r="C746" s="98">
        <v>1</v>
      </c>
      <c r="D746" s="75">
        <f>C746*B746</f>
        <v>120000</v>
      </c>
      <c r="E746" s="105"/>
    </row>
    <row r="747" spans="1:5" x14ac:dyDescent="0.25">
      <c r="A747" s="82"/>
      <c r="B747" s="83"/>
      <c r="C747" s="83" t="s">
        <v>122</v>
      </c>
      <c r="D747" s="83">
        <f>SUM(D742:D746)</f>
        <v>2380000</v>
      </c>
      <c r="E747" s="100">
        <f>SUM(E742:E746)</f>
        <v>41.5</v>
      </c>
    </row>
    <row r="749" spans="1:5" x14ac:dyDescent="0.25">
      <c r="A749" s="279" t="s">
        <v>884</v>
      </c>
      <c r="B749" s="279"/>
      <c r="C749" s="279"/>
      <c r="D749" s="279"/>
      <c r="E749" s="279"/>
    </row>
    <row r="750" spans="1:5" x14ac:dyDescent="0.25">
      <c r="A750" s="72" t="s">
        <v>92</v>
      </c>
      <c r="B750" s="72" t="s">
        <v>226</v>
      </c>
      <c r="C750" s="72" t="s">
        <v>227</v>
      </c>
      <c r="D750" s="72" t="s">
        <v>228</v>
      </c>
      <c r="E750" s="73" t="s">
        <v>229</v>
      </c>
    </row>
    <row r="751" spans="1:5" x14ac:dyDescent="0.25">
      <c r="A751" s="74" t="s">
        <v>701</v>
      </c>
      <c r="B751" s="75">
        <f>INSUMOS!B134</f>
        <v>260000</v>
      </c>
      <c r="C751" s="103">
        <v>1</v>
      </c>
      <c r="D751" s="75">
        <f>C751*B751</f>
        <v>260000</v>
      </c>
      <c r="E751" s="102">
        <f>INSUMOS!E134</f>
        <v>24</v>
      </c>
    </row>
    <row r="752" spans="1:5" x14ac:dyDescent="0.25">
      <c r="A752" s="77" t="s">
        <v>885</v>
      </c>
      <c r="B752" s="78">
        <f>INSUMOS!B246</f>
        <v>380000</v>
      </c>
      <c r="C752" s="98">
        <v>1</v>
      </c>
      <c r="D752" s="75">
        <f>C752*B752</f>
        <v>380000</v>
      </c>
      <c r="E752" s="97">
        <f>INSUMOS!E964</f>
        <v>0</v>
      </c>
    </row>
    <row r="753" spans="1:5" x14ac:dyDescent="0.25">
      <c r="A753" s="77" t="s">
        <v>702</v>
      </c>
      <c r="B753" s="78">
        <f>INSUMOS!B292</f>
        <v>200000</v>
      </c>
      <c r="C753" s="98">
        <v>1</v>
      </c>
      <c r="D753" s="75">
        <f>C753*B753</f>
        <v>200000</v>
      </c>
      <c r="E753" s="105" t="s">
        <v>232</v>
      </c>
    </row>
    <row r="754" spans="1:5" x14ac:dyDescent="0.25">
      <c r="A754" s="77" t="s">
        <v>703</v>
      </c>
      <c r="B754" s="78">
        <f>INSUMOS!B306</f>
        <v>80000</v>
      </c>
      <c r="C754" s="98">
        <v>1</v>
      </c>
      <c r="D754" s="75">
        <f>C754*B754</f>
        <v>80000</v>
      </c>
      <c r="E754" s="105"/>
    </row>
    <row r="755" spans="1:5" x14ac:dyDescent="0.25">
      <c r="A755" s="82"/>
      <c r="B755" s="83"/>
      <c r="C755" s="113" t="s">
        <v>122</v>
      </c>
      <c r="D755" s="83">
        <f>SUM(D751:D754)</f>
        <v>920000</v>
      </c>
      <c r="E755" s="100">
        <f>SUM(E751:E754)</f>
        <v>24</v>
      </c>
    </row>
    <row r="757" spans="1:5" x14ac:dyDescent="0.25">
      <c r="A757" s="279" t="s">
        <v>886</v>
      </c>
      <c r="B757" s="279"/>
      <c r="C757" s="279"/>
      <c r="D757" s="279"/>
      <c r="E757" s="279"/>
    </row>
    <row r="758" spans="1:5" x14ac:dyDescent="0.25">
      <c r="A758" s="72" t="s">
        <v>92</v>
      </c>
      <c r="B758" s="72" t="s">
        <v>226</v>
      </c>
      <c r="C758" s="72" t="s">
        <v>227</v>
      </c>
      <c r="D758" s="72" t="s">
        <v>228</v>
      </c>
      <c r="E758" s="73" t="s">
        <v>229</v>
      </c>
    </row>
    <row r="759" spans="1:5" x14ac:dyDescent="0.25">
      <c r="A759" s="74" t="s">
        <v>887</v>
      </c>
      <c r="B759" s="75">
        <f>INSUMOS!B167</f>
        <v>455000</v>
      </c>
      <c r="C759" s="103">
        <v>1</v>
      </c>
      <c r="D759" s="75">
        <f>C759*B759</f>
        <v>455000</v>
      </c>
      <c r="E759" s="102">
        <f>INSUMOS!E167</f>
        <v>22.5</v>
      </c>
    </row>
    <row r="760" spans="1:5" x14ac:dyDescent="0.25">
      <c r="A760" s="77" t="s">
        <v>888</v>
      </c>
      <c r="B760" s="78">
        <f>INSUMOS!B19</f>
        <v>461000</v>
      </c>
      <c r="C760" s="98">
        <v>0.15</v>
      </c>
      <c r="D760" s="75">
        <f>C760*B760</f>
        <v>69150</v>
      </c>
      <c r="E760" s="97">
        <f>INSUMOS!E19*C760</f>
        <v>5.3698325097357316</v>
      </c>
    </row>
    <row r="761" spans="1:5" x14ac:dyDescent="0.25">
      <c r="A761" s="77" t="s">
        <v>697</v>
      </c>
      <c r="B761" s="78">
        <f>INSUMOS!B298</f>
        <v>250000</v>
      </c>
      <c r="C761" s="98">
        <v>1</v>
      </c>
      <c r="D761" s="75">
        <f>C761*B761</f>
        <v>250000</v>
      </c>
      <c r="E761" s="105" t="s">
        <v>232</v>
      </c>
    </row>
    <row r="762" spans="1:5" x14ac:dyDescent="0.25">
      <c r="A762" s="77" t="s">
        <v>736</v>
      </c>
      <c r="B762" s="78">
        <f>INSUMOS!B354</f>
        <v>530000</v>
      </c>
      <c r="C762" s="98">
        <v>1</v>
      </c>
      <c r="D762" s="75">
        <f>C762*B762</f>
        <v>530000</v>
      </c>
      <c r="E762" s="105"/>
    </row>
    <row r="763" spans="1:5" x14ac:dyDescent="0.25">
      <c r="A763" s="77" t="s">
        <v>737</v>
      </c>
      <c r="B763" s="78">
        <f>INSUMOS!B317</f>
        <v>100000</v>
      </c>
      <c r="C763" s="98">
        <v>1</v>
      </c>
      <c r="D763" s="75">
        <f>C763*B763</f>
        <v>100000</v>
      </c>
      <c r="E763" s="105"/>
    </row>
    <row r="764" spans="1:5" x14ac:dyDescent="0.25">
      <c r="A764" s="82"/>
      <c r="B764" s="83"/>
      <c r="C764" s="83" t="s">
        <v>122</v>
      </c>
      <c r="D764" s="83">
        <f>SUM(D759:D763)</f>
        <v>1404150</v>
      </c>
      <c r="E764" s="100">
        <f>SUM(E759:E763)</f>
        <v>27.86983250973573</v>
      </c>
    </row>
    <row r="766" spans="1:5" x14ac:dyDescent="0.25">
      <c r="A766" s="279" t="s">
        <v>889</v>
      </c>
      <c r="B766" s="279"/>
      <c r="C766" s="279"/>
      <c r="D766" s="279"/>
      <c r="E766" s="279"/>
    </row>
    <row r="767" spans="1:5" x14ac:dyDescent="0.25">
      <c r="A767" s="72" t="s">
        <v>92</v>
      </c>
      <c r="B767" s="72" t="s">
        <v>226</v>
      </c>
      <c r="C767" s="72" t="s">
        <v>227</v>
      </c>
      <c r="D767" s="72" t="s">
        <v>228</v>
      </c>
      <c r="E767" s="73" t="s">
        <v>229</v>
      </c>
    </row>
    <row r="768" spans="1:5" x14ac:dyDescent="0.25">
      <c r="A768" s="74" t="s">
        <v>670</v>
      </c>
      <c r="B768" s="75">
        <f>INSUMOS!B139</f>
        <v>195000</v>
      </c>
      <c r="C768" s="103">
        <v>1</v>
      </c>
      <c r="D768" s="75">
        <f>C768*B768</f>
        <v>195000</v>
      </c>
      <c r="E768" s="102">
        <f>INSUMOS!E139</f>
        <v>4</v>
      </c>
    </row>
    <row r="769" spans="1:5" x14ac:dyDescent="0.25">
      <c r="A769" s="77" t="s">
        <v>888</v>
      </c>
      <c r="B769" s="78">
        <f>INSUMOS!B19</f>
        <v>461000</v>
      </c>
      <c r="C769" s="98">
        <v>0.15</v>
      </c>
      <c r="D769" s="75">
        <f>C769*B769</f>
        <v>69150</v>
      </c>
      <c r="E769" s="97">
        <f>C769*INSUMOS!E19</f>
        <v>5.3698325097357316</v>
      </c>
    </row>
    <row r="770" spans="1:5" x14ac:dyDescent="0.25">
      <c r="A770" s="77" t="s">
        <v>697</v>
      </c>
      <c r="B770" s="78">
        <f>INSUMOS!B298</f>
        <v>250000</v>
      </c>
      <c r="C770" s="98">
        <v>1</v>
      </c>
      <c r="D770" s="75">
        <f>C770*B770</f>
        <v>250000</v>
      </c>
      <c r="E770" s="105" t="s">
        <v>232</v>
      </c>
    </row>
    <row r="771" spans="1:5" x14ac:dyDescent="0.25">
      <c r="A771" s="77" t="s">
        <v>672</v>
      </c>
      <c r="B771" s="78">
        <f>INSUMOS!B289</f>
        <v>100000</v>
      </c>
      <c r="C771" s="98">
        <v>1</v>
      </c>
      <c r="D771" s="75">
        <f>C771*B771</f>
        <v>100000</v>
      </c>
      <c r="E771" s="105"/>
    </row>
    <row r="772" spans="1:5" x14ac:dyDescent="0.25">
      <c r="A772" s="77" t="s">
        <v>673</v>
      </c>
      <c r="B772" s="78">
        <f>INSUMOS!B303</f>
        <v>50000</v>
      </c>
      <c r="C772" s="98">
        <v>1</v>
      </c>
      <c r="D772" s="75">
        <f>C772*B772</f>
        <v>50000</v>
      </c>
      <c r="E772" s="105"/>
    </row>
    <row r="773" spans="1:5" x14ac:dyDescent="0.25">
      <c r="A773" s="82"/>
      <c r="B773" s="83"/>
      <c r="C773" s="83" t="s">
        <v>122</v>
      </c>
      <c r="D773" s="83">
        <f>SUM(D768:D772)</f>
        <v>664150</v>
      </c>
      <c r="E773" s="100">
        <f>SUM(E768:E772)</f>
        <v>9.3698325097357316</v>
      </c>
    </row>
    <row r="775" spans="1:5" x14ac:dyDescent="0.25">
      <c r="A775" s="279" t="s">
        <v>890</v>
      </c>
      <c r="B775" s="279"/>
      <c r="C775" s="279"/>
      <c r="D775" s="279"/>
      <c r="E775" s="279"/>
    </row>
    <row r="776" spans="1:5" x14ac:dyDescent="0.25">
      <c r="A776" s="72" t="s">
        <v>92</v>
      </c>
      <c r="B776" s="72" t="s">
        <v>226</v>
      </c>
      <c r="C776" s="72" t="s">
        <v>227</v>
      </c>
      <c r="D776" s="72" t="s">
        <v>228</v>
      </c>
      <c r="E776" s="73" t="s">
        <v>229</v>
      </c>
    </row>
    <row r="777" spans="1:5" x14ac:dyDescent="0.25">
      <c r="A777" s="74" t="s">
        <v>891</v>
      </c>
      <c r="B777" s="75">
        <f>INSUMOS!B149</f>
        <v>150000</v>
      </c>
      <c r="C777" s="103">
        <v>1</v>
      </c>
      <c r="D777" s="75">
        <f>C777*B777</f>
        <v>150000</v>
      </c>
      <c r="E777" s="102">
        <f>INSUMOS!E149</f>
        <v>4.8</v>
      </c>
    </row>
    <row r="778" spans="1:5" x14ac:dyDescent="0.25">
      <c r="A778" s="77" t="s">
        <v>696</v>
      </c>
      <c r="B778" s="78">
        <f>INSUMOS!B7</f>
        <v>461000</v>
      </c>
      <c r="C778" s="98">
        <v>0.15</v>
      </c>
      <c r="D778" s="75">
        <f>B778*C778</f>
        <v>69150</v>
      </c>
      <c r="E778" s="97">
        <f>C778*INSUMOS!E7</f>
        <v>5.3698325097357316</v>
      </c>
    </row>
    <row r="779" spans="1:5" x14ac:dyDescent="0.25">
      <c r="A779" s="77" t="s">
        <v>697</v>
      </c>
      <c r="B779" s="78">
        <f>INSUMOS!B298</f>
        <v>250000</v>
      </c>
      <c r="C779" s="98">
        <v>1</v>
      </c>
      <c r="D779" s="75">
        <f>C779*B779</f>
        <v>250000</v>
      </c>
      <c r="E779" s="105" t="s">
        <v>232</v>
      </c>
    </row>
    <row r="780" spans="1:5" x14ac:dyDescent="0.25">
      <c r="A780" s="77" t="s">
        <v>676</v>
      </c>
      <c r="B780" s="78">
        <f>INSUMOS!B350</f>
        <v>150000</v>
      </c>
      <c r="C780" s="98">
        <v>1</v>
      </c>
      <c r="D780" s="75">
        <f>C780*B780</f>
        <v>150000</v>
      </c>
      <c r="E780" s="105"/>
    </row>
    <row r="781" spans="1:5" x14ac:dyDescent="0.25">
      <c r="A781" s="77" t="s">
        <v>677</v>
      </c>
      <c r="B781" s="78">
        <f>INSUMOS!B313</f>
        <v>50000</v>
      </c>
      <c r="C781" s="98">
        <v>1</v>
      </c>
      <c r="D781" s="75">
        <f>C781*B781</f>
        <v>50000</v>
      </c>
      <c r="E781" s="105"/>
    </row>
    <row r="782" spans="1:5" x14ac:dyDescent="0.25">
      <c r="A782" s="82"/>
      <c r="B782" s="83"/>
      <c r="C782" s="83" t="s">
        <v>122</v>
      </c>
      <c r="D782" s="83">
        <f>SUM(D777:D781)</f>
        <v>669150</v>
      </c>
      <c r="E782" s="100">
        <f>SUM(E777:E781)</f>
        <v>10.16983250973573</v>
      </c>
    </row>
    <row r="784" spans="1:5" x14ac:dyDescent="0.25">
      <c r="A784" s="279" t="s">
        <v>892</v>
      </c>
      <c r="B784" s="279"/>
      <c r="C784" s="279"/>
      <c r="D784" s="279"/>
      <c r="E784" s="279"/>
    </row>
    <row r="785" spans="1:8" x14ac:dyDescent="0.25">
      <c r="A785" s="72" t="s">
        <v>92</v>
      </c>
      <c r="B785" s="72" t="s">
        <v>226</v>
      </c>
      <c r="C785" s="72" t="s">
        <v>227</v>
      </c>
      <c r="D785" s="72" t="s">
        <v>228</v>
      </c>
      <c r="E785" s="73" t="s">
        <v>229</v>
      </c>
      <c r="H785" s="115"/>
    </row>
    <row r="786" spans="1:8" x14ac:dyDescent="0.25">
      <c r="A786" s="74" t="s">
        <v>648</v>
      </c>
      <c r="B786" s="75">
        <f>INSUMOS!B128</f>
        <v>120000</v>
      </c>
      <c r="C786" s="103">
        <v>1</v>
      </c>
      <c r="D786" s="75">
        <f>C786*B786</f>
        <v>120000</v>
      </c>
      <c r="E786" s="102">
        <f>INSUMOS!E128</f>
        <v>0.97</v>
      </c>
    </row>
    <row r="787" spans="1:8" x14ac:dyDescent="0.25">
      <c r="A787" s="77" t="s">
        <v>696</v>
      </c>
      <c r="B787" s="78">
        <f>INSUMOS!B7</f>
        <v>461000</v>
      </c>
      <c r="C787" s="98">
        <v>0.15</v>
      </c>
      <c r="D787" s="75">
        <f>C787*B787</f>
        <v>69150</v>
      </c>
      <c r="E787" s="97">
        <f>C787*INSUMOS!E7</f>
        <v>5.3698325097357316</v>
      </c>
    </row>
    <row r="788" spans="1:8" x14ac:dyDescent="0.25">
      <c r="A788" s="77" t="s">
        <v>697</v>
      </c>
      <c r="B788" s="78">
        <f>INSUMOS!B298</f>
        <v>250000</v>
      </c>
      <c r="C788" s="98">
        <v>1</v>
      </c>
      <c r="D788" s="75">
        <f>C788*B788</f>
        <v>250000</v>
      </c>
      <c r="E788" s="105" t="s">
        <v>232</v>
      </c>
    </row>
    <row r="789" spans="1:8" x14ac:dyDescent="0.25">
      <c r="A789" s="77" t="s">
        <v>651</v>
      </c>
      <c r="B789" s="78">
        <f>INSUMOS!B286</f>
        <v>50000</v>
      </c>
      <c r="C789" s="98">
        <v>1</v>
      </c>
      <c r="D789" s="75">
        <f>C789*B789</f>
        <v>50000</v>
      </c>
      <c r="E789" s="105"/>
    </row>
    <row r="790" spans="1:8" x14ac:dyDescent="0.25">
      <c r="A790" s="77" t="s">
        <v>652</v>
      </c>
      <c r="B790" s="78">
        <f>INSUMOS!B300</f>
        <v>30000</v>
      </c>
      <c r="C790" s="98">
        <v>1</v>
      </c>
      <c r="D790" s="75">
        <f>C790*B790</f>
        <v>30000</v>
      </c>
      <c r="E790" s="105"/>
    </row>
    <row r="791" spans="1:8" x14ac:dyDescent="0.25">
      <c r="A791" s="82"/>
      <c r="B791" s="83"/>
      <c r="C791" s="83" t="s">
        <v>122</v>
      </c>
      <c r="D791" s="83">
        <f>SUM(D786:D790)</f>
        <v>519150</v>
      </c>
      <c r="E791" s="100">
        <f>SUM(E786:E790)</f>
        <v>6.3398325097357313</v>
      </c>
    </row>
    <row r="793" spans="1:8" x14ac:dyDescent="0.25">
      <c r="A793" s="279" t="s">
        <v>893</v>
      </c>
      <c r="B793" s="279"/>
      <c r="C793" s="279"/>
      <c r="D793" s="279"/>
      <c r="E793" s="279"/>
    </row>
    <row r="794" spans="1:8" x14ac:dyDescent="0.25">
      <c r="A794" s="72" t="s">
        <v>92</v>
      </c>
      <c r="B794" s="72" t="s">
        <v>226</v>
      </c>
      <c r="C794" s="72" t="s">
        <v>227</v>
      </c>
      <c r="D794" s="72" t="s">
        <v>228</v>
      </c>
      <c r="E794" s="73" t="s">
        <v>229</v>
      </c>
    </row>
    <row r="795" spans="1:8" x14ac:dyDescent="0.25">
      <c r="A795" s="74" t="s">
        <v>691</v>
      </c>
      <c r="B795" s="75">
        <f>INSUMOS!B148</f>
        <v>120000</v>
      </c>
      <c r="C795" s="103">
        <v>1</v>
      </c>
      <c r="D795" s="75">
        <f>C795*B795</f>
        <v>120000</v>
      </c>
      <c r="E795" s="102">
        <f>INSUMOS!E148</f>
        <v>3.2</v>
      </c>
    </row>
    <row r="796" spans="1:8" x14ac:dyDescent="0.25">
      <c r="A796" s="77" t="s">
        <v>735</v>
      </c>
      <c r="B796" s="78">
        <f>INSUMOS!B207</f>
        <v>240000</v>
      </c>
      <c r="C796" s="98">
        <v>1</v>
      </c>
      <c r="D796" s="75">
        <f>C796*B796</f>
        <v>240000</v>
      </c>
      <c r="E796" s="97">
        <f>INSUMOS!E207</f>
        <v>4</v>
      </c>
    </row>
    <row r="797" spans="1:8" x14ac:dyDescent="0.25">
      <c r="A797" s="77" t="s">
        <v>692</v>
      </c>
      <c r="B797" s="78">
        <f>INSUMOS!B349</f>
        <v>120000</v>
      </c>
      <c r="C797" s="98">
        <v>1</v>
      </c>
      <c r="D797" s="75">
        <f>C797*B797</f>
        <v>120000</v>
      </c>
      <c r="E797" s="105" t="s">
        <v>232</v>
      </c>
    </row>
    <row r="798" spans="1:8" x14ac:dyDescent="0.25">
      <c r="A798" s="77" t="s">
        <v>894</v>
      </c>
      <c r="B798" s="78">
        <f>INSUMOS!B393</f>
        <v>80000</v>
      </c>
      <c r="C798" s="98">
        <v>1</v>
      </c>
      <c r="D798" s="75">
        <f>C798*B798</f>
        <v>80000</v>
      </c>
      <c r="E798" s="105"/>
    </row>
    <row r="799" spans="1:8" x14ac:dyDescent="0.25">
      <c r="A799" s="77" t="s">
        <v>693</v>
      </c>
      <c r="B799" s="78">
        <f>INSUMOS!B312</f>
        <v>45000</v>
      </c>
      <c r="C799" s="98">
        <v>1</v>
      </c>
      <c r="D799" s="75">
        <f>C799*B799</f>
        <v>45000</v>
      </c>
      <c r="E799" s="105"/>
    </row>
    <row r="800" spans="1:8" x14ac:dyDescent="0.25">
      <c r="A800" s="82"/>
      <c r="B800" s="83"/>
      <c r="C800" s="83" t="s">
        <v>122</v>
      </c>
      <c r="D800" s="83">
        <f>SUM(D795:D799)</f>
        <v>605000</v>
      </c>
      <c r="E800" s="100">
        <f>SUM(E795:E799)</f>
        <v>7.2</v>
      </c>
    </row>
    <row r="802" spans="1:5" x14ac:dyDescent="0.25">
      <c r="A802" s="279" t="s">
        <v>895</v>
      </c>
      <c r="B802" s="279"/>
      <c r="C802" s="279"/>
      <c r="D802" s="279"/>
      <c r="E802" s="279"/>
    </row>
    <row r="803" spans="1:5" x14ac:dyDescent="0.25">
      <c r="A803" s="72" t="s">
        <v>92</v>
      </c>
      <c r="B803" s="72" t="s">
        <v>226</v>
      </c>
      <c r="C803" s="72" t="s">
        <v>227</v>
      </c>
      <c r="D803" s="72" t="s">
        <v>228</v>
      </c>
      <c r="E803" s="73" t="s">
        <v>229</v>
      </c>
    </row>
    <row r="804" spans="1:5" x14ac:dyDescent="0.25">
      <c r="A804" s="74" t="s">
        <v>685</v>
      </c>
      <c r="B804" s="75">
        <f>INSUMOS!B154</f>
        <v>850000</v>
      </c>
      <c r="C804" s="103">
        <v>1</v>
      </c>
      <c r="D804" s="75">
        <f>C804*B804</f>
        <v>850000</v>
      </c>
      <c r="E804" s="102">
        <f>INSUMOS!E154</f>
        <v>28.5</v>
      </c>
    </row>
    <row r="805" spans="1:5" x14ac:dyDescent="0.25">
      <c r="A805" s="77" t="s">
        <v>741</v>
      </c>
      <c r="B805" s="78">
        <f>INSUMOS!B209</f>
        <v>280000</v>
      </c>
      <c r="C805" s="98">
        <v>1</v>
      </c>
      <c r="D805" s="75">
        <f>C805*B805</f>
        <v>280000</v>
      </c>
      <c r="E805" s="97">
        <f>INSUMOS!E209</f>
        <v>6</v>
      </c>
    </row>
    <row r="806" spans="1:5" x14ac:dyDescent="0.25">
      <c r="A806" s="77" t="s">
        <v>687</v>
      </c>
      <c r="B806" s="78">
        <f>INSUMOS!B355</f>
        <v>600000</v>
      </c>
      <c r="C806" s="98">
        <v>1</v>
      </c>
      <c r="D806" s="75">
        <f>C806*B806</f>
        <v>600000</v>
      </c>
      <c r="E806" s="105" t="s">
        <v>232</v>
      </c>
    </row>
    <row r="807" spans="1:5" x14ac:dyDescent="0.25">
      <c r="A807" s="77" t="s">
        <v>688</v>
      </c>
      <c r="B807" s="78">
        <f>INSUMOS!B374</f>
        <v>260000</v>
      </c>
      <c r="C807" s="98">
        <v>1</v>
      </c>
      <c r="D807" s="75">
        <f>C807*B807</f>
        <v>260000</v>
      </c>
      <c r="E807" s="105"/>
    </row>
    <row r="808" spans="1:5" x14ac:dyDescent="0.25">
      <c r="A808" s="77" t="s">
        <v>689</v>
      </c>
      <c r="B808" s="78">
        <f>INSUMOS!B318</f>
        <v>120000</v>
      </c>
      <c r="C808" s="98">
        <v>1</v>
      </c>
      <c r="D808" s="75">
        <f>C808*B808</f>
        <v>120000</v>
      </c>
      <c r="E808" s="105"/>
    </row>
    <row r="809" spans="1:5" x14ac:dyDescent="0.25">
      <c r="A809" s="82"/>
      <c r="B809" s="83"/>
      <c r="C809" s="83" t="s">
        <v>122</v>
      </c>
      <c r="D809" s="83">
        <f>SUM(D804:D808)</f>
        <v>2110000</v>
      </c>
      <c r="E809" s="100">
        <f>SUM(E804:E808)</f>
        <v>34.5</v>
      </c>
    </row>
    <row r="811" spans="1:5" x14ac:dyDescent="0.25">
      <c r="A811" s="279" t="s">
        <v>896</v>
      </c>
      <c r="B811" s="279"/>
      <c r="C811" s="279"/>
      <c r="D811" s="279"/>
      <c r="E811" s="279"/>
    </row>
    <row r="812" spans="1:5" x14ac:dyDescent="0.25">
      <c r="A812" s="72" t="s">
        <v>92</v>
      </c>
      <c r="B812" s="72" t="s">
        <v>226</v>
      </c>
      <c r="C812" s="72" t="s">
        <v>227</v>
      </c>
      <c r="D812" s="72" t="s">
        <v>228</v>
      </c>
      <c r="E812" s="73" t="s">
        <v>229</v>
      </c>
    </row>
    <row r="813" spans="1:5" x14ac:dyDescent="0.25">
      <c r="A813" s="74" t="s">
        <v>848</v>
      </c>
      <c r="B813" s="75">
        <f>B669</f>
        <v>150000</v>
      </c>
      <c r="C813" s="98">
        <v>1</v>
      </c>
      <c r="D813" s="75">
        <f>D669</f>
        <v>150000</v>
      </c>
      <c r="E813" s="116">
        <f>E669</f>
        <v>4</v>
      </c>
    </row>
    <row r="814" spans="1:5" x14ac:dyDescent="0.25">
      <c r="A814" s="77" t="s">
        <v>897</v>
      </c>
      <c r="B814" s="75">
        <f>INSUMOS!B244</f>
        <v>340000</v>
      </c>
      <c r="C814" s="98">
        <v>1</v>
      </c>
      <c r="D814" s="75">
        <f>C814*B814</f>
        <v>340000</v>
      </c>
      <c r="E814" s="116">
        <f>INSUMOS!E244</f>
        <v>8</v>
      </c>
    </row>
    <row r="815" spans="1:5" x14ac:dyDescent="0.25">
      <c r="A815" s="77" t="s">
        <v>672</v>
      </c>
      <c r="B815" s="75">
        <f>B671</f>
        <v>100000</v>
      </c>
      <c r="C815" s="98">
        <v>1</v>
      </c>
      <c r="D815" s="75">
        <f>C815*B815</f>
        <v>100000</v>
      </c>
      <c r="E815" s="105"/>
    </row>
    <row r="816" spans="1:5" x14ac:dyDescent="0.25">
      <c r="A816" s="77" t="s">
        <v>673</v>
      </c>
      <c r="B816" s="75">
        <f>B672</f>
        <v>50000</v>
      </c>
      <c r="C816" s="98">
        <v>1</v>
      </c>
      <c r="D816" s="75">
        <f>C816*B816</f>
        <v>50000</v>
      </c>
      <c r="E816" s="105"/>
    </row>
    <row r="817" spans="1:5" x14ac:dyDescent="0.25">
      <c r="A817" s="82"/>
      <c r="B817" s="83"/>
      <c r="C817" s="83" t="s">
        <v>122</v>
      </c>
      <c r="D817" s="83">
        <f>SUM(D813:D816)</f>
        <v>640000</v>
      </c>
      <c r="E817" s="100">
        <f>SUM(E813:E816)</f>
        <v>12</v>
      </c>
    </row>
    <row r="819" spans="1:5" x14ac:dyDescent="0.25">
      <c r="A819" s="279" t="s">
        <v>898</v>
      </c>
      <c r="B819" s="279"/>
      <c r="C819" s="279"/>
      <c r="D819" s="279"/>
      <c r="E819" s="279"/>
    </row>
    <row r="820" spans="1:5" x14ac:dyDescent="0.25">
      <c r="A820" s="72" t="s">
        <v>92</v>
      </c>
      <c r="B820" s="72" t="s">
        <v>226</v>
      </c>
      <c r="C820" s="72" t="s">
        <v>227</v>
      </c>
      <c r="D820" s="72" t="s">
        <v>228</v>
      </c>
      <c r="E820" s="73" t="s">
        <v>229</v>
      </c>
    </row>
    <row r="821" spans="1:5" x14ac:dyDescent="0.25">
      <c r="A821" s="74" t="s">
        <v>811</v>
      </c>
      <c r="B821" s="75">
        <f>B438</f>
        <v>350000</v>
      </c>
      <c r="C821" s="103">
        <v>1</v>
      </c>
      <c r="D821" s="75">
        <f>C821*B821</f>
        <v>350000</v>
      </c>
      <c r="E821" s="103">
        <f>E438</f>
        <v>22.5</v>
      </c>
    </row>
    <row r="822" spans="1:5" x14ac:dyDescent="0.25">
      <c r="A822" s="77" t="s">
        <v>804</v>
      </c>
      <c r="B822" s="75">
        <f>INSUMOS!B212</f>
        <v>550000</v>
      </c>
      <c r="C822" s="98">
        <v>1</v>
      </c>
      <c r="D822" s="75">
        <f>C822*B822</f>
        <v>550000</v>
      </c>
      <c r="E822" s="97">
        <f>INSUMOS!E210</f>
        <v>8</v>
      </c>
    </row>
    <row r="823" spans="1:5" x14ac:dyDescent="0.25">
      <c r="A823" s="77" t="s">
        <v>736</v>
      </c>
      <c r="B823" s="75">
        <f>B440</f>
        <v>530000</v>
      </c>
      <c r="C823" s="98">
        <v>1</v>
      </c>
      <c r="D823" s="75">
        <f>C823*B823</f>
        <v>530000</v>
      </c>
      <c r="E823" s="105" t="s">
        <v>232</v>
      </c>
    </row>
    <row r="824" spans="1:5" x14ac:dyDescent="0.25">
      <c r="A824" s="77" t="s">
        <v>750</v>
      </c>
      <c r="B824" s="75">
        <f>B441</f>
        <v>0</v>
      </c>
      <c r="C824" s="98">
        <v>1</v>
      </c>
      <c r="D824" s="75">
        <f>C824*B824</f>
        <v>0</v>
      </c>
      <c r="E824" s="105"/>
    </row>
    <row r="825" spans="1:5" x14ac:dyDescent="0.25">
      <c r="A825" s="77" t="s">
        <v>737</v>
      </c>
      <c r="B825" s="75">
        <f>B442</f>
        <v>100000</v>
      </c>
      <c r="C825" s="98">
        <v>1</v>
      </c>
      <c r="D825" s="75">
        <f>C825*B825</f>
        <v>100000</v>
      </c>
      <c r="E825" s="105"/>
    </row>
    <row r="826" spans="1:5" x14ac:dyDescent="0.25">
      <c r="A826" s="82"/>
      <c r="B826" s="83"/>
      <c r="C826" s="83" t="s">
        <v>122</v>
      </c>
      <c r="D826" s="83">
        <f>SUM(D821:D825)</f>
        <v>1530000</v>
      </c>
      <c r="E826" s="100">
        <f>SUM(E821:E825)</f>
        <v>30.5</v>
      </c>
    </row>
    <row r="828" spans="1:5" x14ac:dyDescent="0.25">
      <c r="A828" s="279" t="s">
        <v>899</v>
      </c>
      <c r="B828" s="279"/>
      <c r="C828" s="279"/>
      <c r="D828" s="279"/>
      <c r="E828" s="279"/>
    </row>
    <row r="829" spans="1:5" x14ac:dyDescent="0.25">
      <c r="A829" s="72" t="s">
        <v>92</v>
      </c>
      <c r="B829" s="72" t="s">
        <v>226</v>
      </c>
      <c r="C829" s="72" t="s">
        <v>227</v>
      </c>
      <c r="D829" s="72" t="s">
        <v>228</v>
      </c>
      <c r="E829" s="73" t="s">
        <v>229</v>
      </c>
    </row>
    <row r="830" spans="1:5" x14ac:dyDescent="0.25">
      <c r="A830" s="74" t="s">
        <v>900</v>
      </c>
      <c r="B830" s="75">
        <f>INSUMOS!B166</f>
        <v>322000</v>
      </c>
      <c r="C830" s="103">
        <v>1</v>
      </c>
      <c r="D830" s="75">
        <f>C830*B830</f>
        <v>322000</v>
      </c>
      <c r="E830" s="102">
        <f>INSUMOS!E166</f>
        <v>11.3</v>
      </c>
    </row>
    <row r="831" spans="1:5" x14ac:dyDescent="0.25">
      <c r="A831" s="77" t="s">
        <v>901</v>
      </c>
      <c r="B831" s="78">
        <f>INSUMOS!B215</f>
        <v>280000</v>
      </c>
      <c r="C831" s="98">
        <v>1</v>
      </c>
      <c r="D831" s="75">
        <f>C831*B831</f>
        <v>280000</v>
      </c>
      <c r="E831" s="97">
        <f>INSUMOS!E215</f>
        <v>5</v>
      </c>
    </row>
    <row r="832" spans="1:5" x14ac:dyDescent="0.25">
      <c r="A832" s="77" t="s">
        <v>731</v>
      </c>
      <c r="B832" s="78">
        <f>INSUMOS!B353</f>
        <v>250000</v>
      </c>
      <c r="C832" s="98">
        <v>1</v>
      </c>
      <c r="D832" s="75">
        <f>C832*B832</f>
        <v>250000</v>
      </c>
      <c r="E832" s="105" t="s">
        <v>232</v>
      </c>
    </row>
    <row r="833" spans="1:5" x14ac:dyDescent="0.25">
      <c r="A833" s="77" t="s">
        <v>732</v>
      </c>
      <c r="B833" s="78">
        <f>INSUMOS!B316</f>
        <v>80000</v>
      </c>
      <c r="C833" s="98">
        <v>1</v>
      </c>
      <c r="D833" s="75">
        <f>C833*B833</f>
        <v>80000</v>
      </c>
      <c r="E833" s="105"/>
    </row>
    <row r="834" spans="1:5" x14ac:dyDescent="0.25">
      <c r="A834" s="82"/>
      <c r="B834" s="83"/>
      <c r="C834" s="113" t="s">
        <v>122</v>
      </c>
      <c r="D834" s="83">
        <f>SUM(D830:D833)</f>
        <v>932000</v>
      </c>
      <c r="E834" s="100">
        <f>SUM(E830:E833)</f>
        <v>16.3</v>
      </c>
    </row>
    <row r="836" spans="1:5" x14ac:dyDescent="0.25">
      <c r="A836" s="279" t="s">
        <v>902</v>
      </c>
      <c r="B836" s="279"/>
      <c r="C836" s="279"/>
      <c r="D836" s="279"/>
      <c r="E836" s="279"/>
    </row>
    <row r="837" spans="1:5" x14ac:dyDescent="0.25">
      <c r="A837" s="72" t="s">
        <v>92</v>
      </c>
      <c r="B837" s="72" t="s">
        <v>226</v>
      </c>
      <c r="C837" s="72" t="s">
        <v>227</v>
      </c>
      <c r="D837" s="72" t="s">
        <v>228</v>
      </c>
      <c r="E837" s="73" t="s">
        <v>229</v>
      </c>
    </row>
    <row r="838" spans="1:5" x14ac:dyDescent="0.25">
      <c r="A838" s="74" t="s">
        <v>685</v>
      </c>
      <c r="B838" s="75">
        <f>INSUMOS!B154</f>
        <v>850000</v>
      </c>
      <c r="C838" s="103">
        <v>1</v>
      </c>
      <c r="D838" s="75">
        <f>C838*B838</f>
        <v>850000</v>
      </c>
      <c r="E838" s="102">
        <f>INSUMOS!E154</f>
        <v>28.5</v>
      </c>
    </row>
    <row r="839" spans="1:5" x14ac:dyDescent="0.25">
      <c r="A839" s="77" t="s">
        <v>903</v>
      </c>
      <c r="B839" s="78">
        <f>INSUMOS!B213</f>
        <v>650000</v>
      </c>
      <c r="C839" s="98">
        <v>1</v>
      </c>
      <c r="D839" s="75">
        <f>C839*B839</f>
        <v>650000</v>
      </c>
      <c r="E839" s="97">
        <f>INSUMOS!E213</f>
        <v>16</v>
      </c>
    </row>
    <row r="840" spans="1:5" x14ac:dyDescent="0.25">
      <c r="A840" s="77" t="s">
        <v>687</v>
      </c>
      <c r="B840" s="78">
        <f>INSUMOS!B355</f>
        <v>600000</v>
      </c>
      <c r="C840" s="98">
        <v>1</v>
      </c>
      <c r="D840" s="75">
        <f>C840*B840</f>
        <v>600000</v>
      </c>
      <c r="E840" s="105" t="s">
        <v>232</v>
      </c>
    </row>
    <row r="841" spans="1:5" x14ac:dyDescent="0.25">
      <c r="A841" s="77" t="s">
        <v>688</v>
      </c>
      <c r="B841" s="78">
        <f>INSUMOS!B374</f>
        <v>260000</v>
      </c>
      <c r="C841" s="98">
        <v>1</v>
      </c>
      <c r="D841" s="75">
        <f>C841*B841</f>
        <v>260000</v>
      </c>
      <c r="E841" s="105"/>
    </row>
    <row r="842" spans="1:5" x14ac:dyDescent="0.25">
      <c r="A842" s="77" t="s">
        <v>689</v>
      </c>
      <c r="B842" s="78">
        <f>INSUMOS!B318</f>
        <v>120000</v>
      </c>
      <c r="C842" s="98">
        <v>1</v>
      </c>
      <c r="D842" s="75">
        <f>C842*B842</f>
        <v>120000</v>
      </c>
      <c r="E842" s="105"/>
    </row>
    <row r="843" spans="1:5" x14ac:dyDescent="0.25">
      <c r="A843" s="82"/>
      <c r="B843" s="83"/>
      <c r="C843" s="83" t="s">
        <v>122</v>
      </c>
      <c r="D843" s="83">
        <f>SUM(D838:D842)</f>
        <v>2480000</v>
      </c>
      <c r="E843" s="100">
        <f>SUM(E838:E842)</f>
        <v>44.5</v>
      </c>
    </row>
    <row r="845" spans="1:5" x14ac:dyDescent="0.25">
      <c r="A845" s="279" t="s">
        <v>904</v>
      </c>
      <c r="B845" s="279"/>
      <c r="C845" s="279"/>
      <c r="D845" s="279"/>
      <c r="E845" s="279"/>
    </row>
    <row r="846" spans="1:5" x14ac:dyDescent="0.25">
      <c r="A846" s="72" t="s">
        <v>92</v>
      </c>
      <c r="B846" s="72" t="s">
        <v>226</v>
      </c>
      <c r="C846" s="72" t="s">
        <v>227</v>
      </c>
      <c r="D846" s="72" t="s">
        <v>228</v>
      </c>
      <c r="E846" s="73" t="s">
        <v>229</v>
      </c>
    </row>
    <row r="847" spans="1:5" x14ac:dyDescent="0.25">
      <c r="A847" s="74" t="s">
        <v>905</v>
      </c>
      <c r="B847" s="75">
        <f>INSUMOS!B167</f>
        <v>455000</v>
      </c>
      <c r="C847" s="103">
        <v>1</v>
      </c>
      <c r="D847" s="75">
        <f>C847*B847</f>
        <v>455000</v>
      </c>
      <c r="E847" s="103">
        <f>INSUMOS!E167</f>
        <v>22.5</v>
      </c>
    </row>
    <row r="848" spans="1:5" x14ac:dyDescent="0.25">
      <c r="A848" s="77" t="s">
        <v>808</v>
      </c>
      <c r="B848" s="75">
        <f>INSUMOS!B218</f>
        <v>600000</v>
      </c>
      <c r="C848" s="98">
        <v>1</v>
      </c>
      <c r="D848" s="75">
        <f>C848*B848</f>
        <v>600000</v>
      </c>
      <c r="E848" s="97">
        <f>INSUMOS!E218</f>
        <v>13</v>
      </c>
    </row>
    <row r="849" spans="1:5" x14ac:dyDescent="0.25">
      <c r="A849" s="77" t="s">
        <v>736</v>
      </c>
      <c r="B849" s="75">
        <f>INSUMOS!B354</f>
        <v>530000</v>
      </c>
      <c r="C849" s="98">
        <v>1</v>
      </c>
      <c r="D849" s="75">
        <f>C849*B849</f>
        <v>530000</v>
      </c>
      <c r="E849" s="105" t="s">
        <v>232</v>
      </c>
    </row>
    <row r="850" spans="1:5" x14ac:dyDescent="0.25">
      <c r="A850" s="77" t="s">
        <v>750</v>
      </c>
      <c r="B850" s="75">
        <f>INSUMOS!B373</f>
        <v>180000</v>
      </c>
      <c r="C850" s="98">
        <v>1</v>
      </c>
      <c r="D850" s="75">
        <f>C850*B850</f>
        <v>180000</v>
      </c>
      <c r="E850" s="105"/>
    </row>
    <row r="851" spans="1:5" x14ac:dyDescent="0.25">
      <c r="A851" s="77" t="s">
        <v>737</v>
      </c>
      <c r="B851" s="75">
        <f>INSUMOS!B317</f>
        <v>100000</v>
      </c>
      <c r="C851" s="98">
        <v>1</v>
      </c>
      <c r="D851" s="75">
        <f>C851*B851</f>
        <v>100000</v>
      </c>
      <c r="E851" s="105"/>
    </row>
    <row r="852" spans="1:5" x14ac:dyDescent="0.25">
      <c r="A852" s="82"/>
      <c r="B852" s="83"/>
      <c r="C852" s="83" t="s">
        <v>122</v>
      </c>
      <c r="D852" s="83">
        <f>SUM(D847:D851)</f>
        <v>1865000</v>
      </c>
      <c r="E852" s="100">
        <f>SUM(E847:E851)</f>
        <v>35.5</v>
      </c>
    </row>
    <row r="854" spans="1:5" x14ac:dyDescent="0.25">
      <c r="A854" s="279" t="s">
        <v>906</v>
      </c>
      <c r="B854" s="279"/>
      <c r="C854" s="279"/>
      <c r="D854" s="279"/>
      <c r="E854" s="279"/>
    </row>
    <row r="855" spans="1:5" x14ac:dyDescent="0.25">
      <c r="A855" s="72" t="s">
        <v>92</v>
      </c>
      <c r="B855" s="72" t="s">
        <v>226</v>
      </c>
      <c r="C855" s="72" t="s">
        <v>227</v>
      </c>
      <c r="D855" s="72" t="s">
        <v>228</v>
      </c>
      <c r="E855" s="73" t="s">
        <v>229</v>
      </c>
    </row>
    <row r="856" spans="1:5" x14ac:dyDescent="0.25">
      <c r="A856" s="74" t="s">
        <v>654</v>
      </c>
      <c r="B856" s="75">
        <f>INSUMOS!B130</f>
        <v>130000</v>
      </c>
      <c r="C856" s="103">
        <v>1</v>
      </c>
      <c r="D856" s="75">
        <f>C856*B856</f>
        <v>130000</v>
      </c>
      <c r="E856" s="102">
        <f>INSUMOS!E130</f>
        <v>2.91</v>
      </c>
    </row>
    <row r="857" spans="1:5" x14ac:dyDescent="0.25">
      <c r="A857" s="77" t="s">
        <v>696</v>
      </c>
      <c r="B857" s="78">
        <f>INSUMOS!B7</f>
        <v>461000</v>
      </c>
      <c r="C857" s="98">
        <v>0.15</v>
      </c>
      <c r="D857" s="75">
        <f>C857*B857</f>
        <v>69150</v>
      </c>
      <c r="E857" s="97">
        <f>C857*INSUMOS!E7</f>
        <v>5.3698325097357316</v>
      </c>
    </row>
    <row r="858" spans="1:5" x14ac:dyDescent="0.25">
      <c r="A858" s="77" t="s">
        <v>697</v>
      </c>
      <c r="B858" s="78">
        <f>INSUMOS!B298</f>
        <v>250000</v>
      </c>
      <c r="C858" s="98">
        <v>1</v>
      </c>
      <c r="D858" s="75">
        <f>C858*B858</f>
        <v>250000</v>
      </c>
      <c r="E858" s="105" t="s">
        <v>232</v>
      </c>
    </row>
    <row r="859" spans="1:5" x14ac:dyDescent="0.25">
      <c r="A859" s="77" t="s">
        <v>655</v>
      </c>
      <c r="B859" s="78">
        <f>INSUMOS!B288</f>
        <v>80000</v>
      </c>
      <c r="C859" s="98">
        <v>1</v>
      </c>
      <c r="D859" s="75">
        <f>C859*B859</f>
        <v>80000</v>
      </c>
      <c r="E859" s="105"/>
    </row>
    <row r="860" spans="1:5" x14ac:dyDescent="0.25">
      <c r="A860" s="77" t="s">
        <v>656</v>
      </c>
      <c r="B860" s="78">
        <f>INSUMOS!B302</f>
        <v>40000</v>
      </c>
      <c r="C860" s="98">
        <v>1</v>
      </c>
      <c r="D860" s="75">
        <f>C860*B860</f>
        <v>40000</v>
      </c>
      <c r="E860" s="105"/>
    </row>
    <row r="861" spans="1:5" x14ac:dyDescent="0.25">
      <c r="A861" s="82"/>
      <c r="B861" s="83"/>
      <c r="C861" s="83" t="s">
        <v>122</v>
      </c>
      <c r="D861" s="83">
        <f>SUM(D856:D860)</f>
        <v>569150</v>
      </c>
      <c r="E861" s="100">
        <f>SUM(E856:E860)</f>
        <v>8.2798325097357317</v>
      </c>
    </row>
    <row r="863" spans="1:5" x14ac:dyDescent="0.25">
      <c r="A863" s="279" t="s">
        <v>907</v>
      </c>
      <c r="B863" s="279"/>
      <c r="C863" s="279"/>
      <c r="D863" s="279"/>
      <c r="E863" s="279"/>
    </row>
    <row r="864" spans="1:5" x14ac:dyDescent="0.25">
      <c r="A864" s="72" t="s">
        <v>92</v>
      </c>
      <c r="B864" s="72" t="s">
        <v>226</v>
      </c>
      <c r="C864" s="72" t="s">
        <v>227</v>
      </c>
      <c r="D864" s="72" t="s">
        <v>228</v>
      </c>
      <c r="E864" s="73" t="s">
        <v>229</v>
      </c>
    </row>
    <row r="865" spans="1:5" x14ac:dyDescent="0.25">
      <c r="A865" s="74" t="s">
        <v>865</v>
      </c>
      <c r="B865" s="75">
        <f>INSUMOS!B152</f>
        <v>230000</v>
      </c>
      <c r="C865" s="103">
        <v>1</v>
      </c>
      <c r="D865" s="75">
        <f>C865*B865</f>
        <v>230000</v>
      </c>
      <c r="E865" s="102">
        <f>INSUMOS!E152</f>
        <v>11.3</v>
      </c>
    </row>
    <row r="866" spans="1:5" x14ac:dyDescent="0.25">
      <c r="A866" s="77" t="s">
        <v>696</v>
      </c>
      <c r="B866" s="78">
        <f>INSUMOS!B7</f>
        <v>461000</v>
      </c>
      <c r="C866" s="98">
        <v>0.15</v>
      </c>
      <c r="D866" s="75">
        <f>C866*B866</f>
        <v>69150</v>
      </c>
      <c r="E866" s="97">
        <f>C866*INSUMOS!E7</f>
        <v>5.3698325097357316</v>
      </c>
    </row>
    <row r="867" spans="1:5" x14ac:dyDescent="0.25">
      <c r="A867" s="77" t="s">
        <v>697</v>
      </c>
      <c r="B867" s="78">
        <f>INSUMOS!B298</f>
        <v>250000</v>
      </c>
      <c r="C867" s="98">
        <v>1</v>
      </c>
      <c r="D867" s="75">
        <f>C867*B867</f>
        <v>250000</v>
      </c>
      <c r="E867" s="105" t="s">
        <v>232</v>
      </c>
    </row>
    <row r="868" spans="1:5" x14ac:dyDescent="0.25">
      <c r="A868" s="77" t="s">
        <v>731</v>
      </c>
      <c r="B868" s="78">
        <f>INSUMOS!B353</f>
        <v>250000</v>
      </c>
      <c r="C868" s="98">
        <v>1</v>
      </c>
      <c r="D868" s="75">
        <f>C868*B868</f>
        <v>250000</v>
      </c>
      <c r="E868" s="105"/>
    </row>
    <row r="869" spans="1:5" x14ac:dyDescent="0.25">
      <c r="A869" s="77" t="s">
        <v>732</v>
      </c>
      <c r="B869" s="78">
        <f>INSUMOS!B316</f>
        <v>80000</v>
      </c>
      <c r="C869" s="98">
        <v>1</v>
      </c>
      <c r="D869" s="75">
        <f>C869*B869</f>
        <v>80000</v>
      </c>
      <c r="E869" s="105"/>
    </row>
    <row r="870" spans="1:5" x14ac:dyDescent="0.25">
      <c r="A870" s="82"/>
      <c r="B870" s="83"/>
      <c r="C870" s="83" t="s">
        <v>122</v>
      </c>
      <c r="D870" s="83">
        <f>SUM(D865:D869)</f>
        <v>879150</v>
      </c>
      <c r="E870" s="100">
        <f>SUM(E865:E869)</f>
        <v>16.669832509735734</v>
      </c>
    </row>
    <row r="872" spans="1:5" x14ac:dyDescent="0.25">
      <c r="A872" s="279" t="s">
        <v>908</v>
      </c>
      <c r="B872" s="279"/>
      <c r="C872" s="279"/>
      <c r="D872" s="279"/>
      <c r="E872" s="279"/>
    </row>
    <row r="873" spans="1:5" x14ac:dyDescent="0.25">
      <c r="A873" s="72" t="s">
        <v>92</v>
      </c>
      <c r="B873" s="72" t="s">
        <v>226</v>
      </c>
      <c r="C873" s="72" t="s">
        <v>227</v>
      </c>
      <c r="D873" s="72" t="s">
        <v>228</v>
      </c>
      <c r="E873" s="73" t="s">
        <v>229</v>
      </c>
    </row>
    <row r="874" spans="1:5" x14ac:dyDescent="0.25">
      <c r="A874" s="74" t="s">
        <v>776</v>
      </c>
      <c r="B874" s="75">
        <f>INSUMOS!B203</f>
        <v>100000</v>
      </c>
      <c r="C874" s="103">
        <v>1</v>
      </c>
      <c r="D874" s="75">
        <f>C874*B874</f>
        <v>100000</v>
      </c>
      <c r="E874" s="102">
        <f>INSUMOS!E203</f>
        <v>4.3</v>
      </c>
    </row>
    <row r="875" spans="1:5" x14ac:dyDescent="0.25">
      <c r="A875" s="77" t="s">
        <v>658</v>
      </c>
      <c r="B875" s="78">
        <f>INSUMOS!B5</f>
        <v>154000</v>
      </c>
      <c r="C875" s="98">
        <v>0.15</v>
      </c>
      <c r="D875" s="75">
        <f>C875*B875</f>
        <v>23100</v>
      </c>
      <c r="E875" s="97">
        <f>C875*INSUMOS!E5</f>
        <v>2.3865922265492139</v>
      </c>
    </row>
    <row r="876" spans="1:5" x14ac:dyDescent="0.25">
      <c r="A876" s="77" t="s">
        <v>659</v>
      </c>
      <c r="B876" s="78">
        <f>INSUMOS!B297</f>
        <v>200000</v>
      </c>
      <c r="C876" s="98">
        <v>1</v>
      </c>
      <c r="D876" s="75">
        <f>C876*B876</f>
        <v>200000</v>
      </c>
      <c r="E876" s="112"/>
    </row>
    <row r="877" spans="1:5" x14ac:dyDescent="0.25">
      <c r="A877" s="77" t="s">
        <v>777</v>
      </c>
      <c r="B877" s="78">
        <f>INSUMOS!B422</f>
        <v>240000</v>
      </c>
      <c r="C877" s="98">
        <v>1</v>
      </c>
      <c r="D877" s="75">
        <f>C877*B877</f>
        <v>240000</v>
      </c>
      <c r="E877" s="105"/>
    </row>
    <row r="878" spans="1:5" x14ac:dyDescent="0.25">
      <c r="A878" s="77" t="s">
        <v>778</v>
      </c>
      <c r="B878" s="78">
        <f>INSUMOS!B334</f>
        <v>45000</v>
      </c>
      <c r="C878" s="98">
        <v>1</v>
      </c>
      <c r="D878" s="75">
        <f>C878*B878</f>
        <v>45000</v>
      </c>
      <c r="E878" s="105"/>
    </row>
    <row r="879" spans="1:5" x14ac:dyDescent="0.25">
      <c r="A879" s="82"/>
      <c r="B879" s="83"/>
      <c r="C879" s="83" t="s">
        <v>122</v>
      </c>
      <c r="D879" s="83">
        <f>SUM(D874:D878)</f>
        <v>608100</v>
      </c>
      <c r="E879" s="100">
        <f>SUM(E874:E878)</f>
        <v>6.6865922265492141</v>
      </c>
    </row>
    <row r="881" spans="1:5" x14ac:dyDescent="0.25">
      <c r="A881" s="279" t="s">
        <v>909</v>
      </c>
      <c r="B881" s="279"/>
      <c r="C881" s="279"/>
      <c r="D881" s="279"/>
      <c r="E881" s="279"/>
    </row>
    <row r="882" spans="1:5" x14ac:dyDescent="0.25">
      <c r="A882" s="72" t="s">
        <v>92</v>
      </c>
      <c r="B882" s="72" t="s">
        <v>226</v>
      </c>
      <c r="C882" s="72" t="s">
        <v>227</v>
      </c>
      <c r="D882" s="72" t="s">
        <v>228</v>
      </c>
      <c r="E882" s="73" t="s">
        <v>229</v>
      </c>
    </row>
    <row r="883" spans="1:5" x14ac:dyDescent="0.25">
      <c r="A883" s="74" t="s">
        <v>675</v>
      </c>
      <c r="B883" s="75">
        <f>INSUMOS!B149</f>
        <v>150000</v>
      </c>
      <c r="C883" s="103">
        <v>1</v>
      </c>
      <c r="D883" s="75">
        <f>C883*B883</f>
        <v>150000</v>
      </c>
      <c r="E883" s="102">
        <f>INSUMOS!E149</f>
        <v>4.8</v>
      </c>
    </row>
    <row r="884" spans="1:5" x14ac:dyDescent="0.25">
      <c r="A884" s="77" t="s">
        <v>649</v>
      </c>
      <c r="B884" s="78">
        <f>INSUMOS!B4</f>
        <v>87000</v>
      </c>
      <c r="C884" s="98">
        <v>0.15</v>
      </c>
      <c r="D884" s="75">
        <f>C884*B884</f>
        <v>13050</v>
      </c>
      <c r="E884" s="97">
        <f>C884*INSUMOS!E4</f>
        <v>1.3424581274339329</v>
      </c>
    </row>
    <row r="885" spans="1:5" x14ac:dyDescent="0.25">
      <c r="A885" s="77" t="s">
        <v>650</v>
      </c>
      <c r="B885" s="78">
        <f>INSUMOS!B296</f>
        <v>178200</v>
      </c>
      <c r="C885" s="98">
        <v>1</v>
      </c>
      <c r="D885" s="75">
        <f>C885*B885</f>
        <v>178200</v>
      </c>
      <c r="E885" s="105"/>
    </row>
    <row r="886" spans="1:5" x14ac:dyDescent="0.25">
      <c r="A886" s="77" t="s">
        <v>676</v>
      </c>
      <c r="B886" s="78">
        <f>INSUMOS!B350</f>
        <v>150000</v>
      </c>
      <c r="C886" s="98">
        <v>1</v>
      </c>
      <c r="D886" s="75">
        <f>C886*B886</f>
        <v>150000</v>
      </c>
      <c r="E886" s="105"/>
    </row>
    <row r="887" spans="1:5" x14ac:dyDescent="0.25">
      <c r="A887" s="77" t="s">
        <v>677</v>
      </c>
      <c r="B887" s="78">
        <f>INSUMOS!B313</f>
        <v>50000</v>
      </c>
      <c r="C887" s="98">
        <v>1</v>
      </c>
      <c r="D887" s="75">
        <f>C887*B887</f>
        <v>50000</v>
      </c>
      <c r="E887" s="105"/>
    </row>
    <row r="888" spans="1:5" x14ac:dyDescent="0.25">
      <c r="A888" s="82"/>
      <c r="B888" s="83"/>
      <c r="C888" s="83" t="s">
        <v>122</v>
      </c>
      <c r="D888" s="83">
        <f>SUM(D883:D887)</f>
        <v>541250</v>
      </c>
      <c r="E888" s="100">
        <f>SUM(E883:E887)</f>
        <v>6.1424581274339332</v>
      </c>
    </row>
    <row r="890" spans="1:5" x14ac:dyDescent="0.25">
      <c r="A890" s="279" t="s">
        <v>910</v>
      </c>
      <c r="B890" s="279"/>
      <c r="C890" s="279"/>
      <c r="D890" s="279"/>
      <c r="E890" s="279"/>
    </row>
    <row r="891" spans="1:5" x14ac:dyDescent="0.25">
      <c r="A891" s="71" t="s">
        <v>92</v>
      </c>
      <c r="B891" s="72" t="s">
        <v>226</v>
      </c>
      <c r="C891" s="72" t="s">
        <v>227</v>
      </c>
      <c r="D891" s="72" t="s">
        <v>228</v>
      </c>
      <c r="E891" s="73" t="s">
        <v>229</v>
      </c>
    </row>
    <row r="892" spans="1:5" x14ac:dyDescent="0.25">
      <c r="A892" s="74" t="s">
        <v>691</v>
      </c>
      <c r="B892" s="75">
        <f>INSUMOS!B148</f>
        <v>120000</v>
      </c>
      <c r="C892" s="103">
        <v>1</v>
      </c>
      <c r="D892" s="75">
        <f>C892*B892</f>
        <v>120000</v>
      </c>
      <c r="E892" s="102">
        <f>INSUMOS!E148</f>
        <v>3.2</v>
      </c>
    </row>
    <row r="893" spans="1:5" x14ac:dyDescent="0.25">
      <c r="A893" s="77" t="s">
        <v>802</v>
      </c>
      <c r="B893" s="78">
        <f>INSUMOS!B208</f>
        <v>260000</v>
      </c>
      <c r="C893" s="98">
        <v>1</v>
      </c>
      <c r="D893" s="75">
        <f>C893*B893</f>
        <v>260000</v>
      </c>
      <c r="E893" s="97">
        <f>INSUMOS!E208</f>
        <v>5</v>
      </c>
    </row>
    <row r="894" spans="1:5" x14ac:dyDescent="0.25">
      <c r="A894" s="77" t="s">
        <v>692</v>
      </c>
      <c r="B894" s="78">
        <f>INSUMOS!B349</f>
        <v>120000</v>
      </c>
      <c r="C894" s="98">
        <v>1</v>
      </c>
      <c r="D894" s="75">
        <f>C894*B894</f>
        <v>120000</v>
      </c>
      <c r="E894" s="105" t="s">
        <v>232</v>
      </c>
    </row>
    <row r="895" spans="1:5" x14ac:dyDescent="0.25">
      <c r="A895" s="77" t="s">
        <v>693</v>
      </c>
      <c r="B895" s="78">
        <f>INSUMOS!B312</f>
        <v>45000</v>
      </c>
      <c r="C895" s="98">
        <v>1</v>
      </c>
      <c r="D895" s="75">
        <f>C895*B895</f>
        <v>45000</v>
      </c>
      <c r="E895" s="105"/>
    </row>
    <row r="896" spans="1:5" x14ac:dyDescent="0.25">
      <c r="A896" s="77" t="s">
        <v>911</v>
      </c>
      <c r="B896" s="78">
        <f>INSUMOS!B393</f>
        <v>80000</v>
      </c>
      <c r="C896" s="98">
        <v>1</v>
      </c>
      <c r="D896" s="75">
        <f>C896*B896</f>
        <v>80000</v>
      </c>
      <c r="E896" s="105"/>
    </row>
    <row r="897" spans="1:5" x14ac:dyDescent="0.25">
      <c r="A897" s="82"/>
      <c r="B897" s="83"/>
      <c r="C897" s="113" t="s">
        <v>122</v>
      </c>
      <c r="D897" s="83">
        <f>SUM(D892:D896)</f>
        <v>625000</v>
      </c>
      <c r="E897" s="100">
        <f>SUM(E892:E895)</f>
        <v>8.1999999999999993</v>
      </c>
    </row>
    <row r="899" spans="1:5" x14ac:dyDescent="0.25">
      <c r="A899" s="279" t="s">
        <v>912</v>
      </c>
      <c r="B899" s="279"/>
      <c r="C899" s="279"/>
      <c r="D899" s="279"/>
      <c r="E899" s="279"/>
    </row>
    <row r="900" spans="1:5" x14ac:dyDescent="0.25">
      <c r="A900" s="72" t="s">
        <v>92</v>
      </c>
      <c r="B900" s="72" t="s">
        <v>226</v>
      </c>
      <c r="C900" s="72" t="s">
        <v>227</v>
      </c>
      <c r="D900" s="72" t="s">
        <v>228</v>
      </c>
      <c r="E900" s="73" t="s">
        <v>229</v>
      </c>
    </row>
    <row r="901" spans="1:5" x14ac:dyDescent="0.25">
      <c r="A901" s="74" t="s">
        <v>900</v>
      </c>
      <c r="B901" s="75">
        <f>INSUMOS!B166</f>
        <v>322000</v>
      </c>
      <c r="C901" s="103">
        <v>1</v>
      </c>
      <c r="D901" s="75">
        <f>C901*B901</f>
        <v>322000</v>
      </c>
      <c r="E901" s="102">
        <f>INSUMOS!E166</f>
        <v>11.3</v>
      </c>
    </row>
    <row r="902" spans="1:5" x14ac:dyDescent="0.25">
      <c r="A902" s="77" t="s">
        <v>913</v>
      </c>
      <c r="B902" s="78">
        <f>INSUMOS!B216</f>
        <v>310000</v>
      </c>
      <c r="C902" s="98">
        <v>1</v>
      </c>
      <c r="D902" s="75">
        <f>C902*B902</f>
        <v>310000</v>
      </c>
      <c r="E902" s="97">
        <f>INSUMOS!E216</f>
        <v>7</v>
      </c>
    </row>
    <row r="903" spans="1:5" x14ac:dyDescent="0.25">
      <c r="A903" s="77" t="s">
        <v>731</v>
      </c>
      <c r="B903" s="78">
        <f>INSUMOS!B353</f>
        <v>250000</v>
      </c>
      <c r="C903" s="98">
        <v>1</v>
      </c>
      <c r="D903" s="75">
        <f>C903*B903</f>
        <v>250000</v>
      </c>
      <c r="E903" s="105" t="s">
        <v>232</v>
      </c>
    </row>
    <row r="904" spans="1:5" x14ac:dyDescent="0.25">
      <c r="A904" s="77" t="s">
        <v>732</v>
      </c>
      <c r="B904" s="78">
        <f>INSUMOS!B316</f>
        <v>80000</v>
      </c>
      <c r="C904" s="98">
        <v>1</v>
      </c>
      <c r="D904" s="75">
        <f>C904*B904</f>
        <v>80000</v>
      </c>
      <c r="E904" s="105"/>
    </row>
    <row r="905" spans="1:5" x14ac:dyDescent="0.25">
      <c r="A905" s="77" t="s">
        <v>914</v>
      </c>
      <c r="B905" s="78">
        <f>INSUMOS!B393</f>
        <v>80000</v>
      </c>
      <c r="C905" s="98"/>
      <c r="D905" s="75"/>
      <c r="E905" s="105"/>
    </row>
    <row r="906" spans="1:5" x14ac:dyDescent="0.25">
      <c r="A906" s="82"/>
      <c r="B906" s="83"/>
      <c r="C906" s="113" t="s">
        <v>122</v>
      </c>
      <c r="D906" s="83">
        <f>SUM(D901:D904)</f>
        <v>962000</v>
      </c>
      <c r="E906" s="100">
        <f>SUM(E901:E904)</f>
        <v>18.3</v>
      </c>
    </row>
    <row r="908" spans="1:5" x14ac:dyDescent="0.25">
      <c r="A908" s="279" t="s">
        <v>915</v>
      </c>
      <c r="B908" s="279"/>
      <c r="C908" s="279"/>
      <c r="D908" s="279"/>
      <c r="E908" s="279"/>
    </row>
    <row r="909" spans="1:5" x14ac:dyDescent="0.25">
      <c r="A909" s="72" t="s">
        <v>92</v>
      </c>
      <c r="B909" s="72" t="s">
        <v>226</v>
      </c>
      <c r="C909" s="72" t="s">
        <v>227</v>
      </c>
      <c r="D909" s="72" t="s">
        <v>228</v>
      </c>
      <c r="E909" s="73" t="s">
        <v>229</v>
      </c>
    </row>
    <row r="910" spans="1:5" x14ac:dyDescent="0.25">
      <c r="A910" s="74" t="s">
        <v>865</v>
      </c>
      <c r="B910" s="75">
        <f>INSUMOS!B152</f>
        <v>230000</v>
      </c>
      <c r="C910" s="103">
        <v>1</v>
      </c>
      <c r="D910" s="75">
        <f>C910*B910</f>
        <v>230000</v>
      </c>
      <c r="E910" s="102">
        <f>INSUMOS!E152</f>
        <v>11.3</v>
      </c>
    </row>
    <row r="911" spans="1:5" x14ac:dyDescent="0.25">
      <c r="A911" s="77" t="s">
        <v>658</v>
      </c>
      <c r="B911" s="78">
        <f>INSUMOS!B5</f>
        <v>154000</v>
      </c>
      <c r="C911" s="98">
        <v>0.15</v>
      </c>
      <c r="D911" s="75">
        <f>C911*B911</f>
        <v>23100</v>
      </c>
      <c r="E911" s="97">
        <f>C911*INSUMOS!E5</f>
        <v>2.3865922265492139</v>
      </c>
    </row>
    <row r="912" spans="1:5" x14ac:dyDescent="0.25">
      <c r="A912" s="77" t="s">
        <v>659</v>
      </c>
      <c r="B912" s="78">
        <f>INSUMOS!B297</f>
        <v>200000</v>
      </c>
      <c r="C912" s="98">
        <v>1</v>
      </c>
      <c r="D912" s="75">
        <f>C912*B912</f>
        <v>200000</v>
      </c>
      <c r="E912" s="105" t="s">
        <v>232</v>
      </c>
    </row>
    <row r="913" spans="1:5" x14ac:dyDescent="0.25">
      <c r="A913" s="77" t="s">
        <v>731</v>
      </c>
      <c r="B913" s="78">
        <f>INSUMOS!B353</f>
        <v>250000</v>
      </c>
      <c r="C913" s="98">
        <v>1</v>
      </c>
      <c r="D913" s="75">
        <f>C913*B913</f>
        <v>250000</v>
      </c>
      <c r="E913" s="105"/>
    </row>
    <row r="914" spans="1:5" x14ac:dyDescent="0.25">
      <c r="A914" s="77" t="s">
        <v>732</v>
      </c>
      <c r="B914" s="78">
        <f>INSUMOS!B316</f>
        <v>80000</v>
      </c>
      <c r="C914" s="98">
        <v>1</v>
      </c>
      <c r="D914" s="75">
        <f>C914*B914</f>
        <v>80000</v>
      </c>
      <c r="E914" s="105"/>
    </row>
    <row r="915" spans="1:5" x14ac:dyDescent="0.25">
      <c r="A915" s="82"/>
      <c r="B915" s="83"/>
      <c r="C915" s="83" t="s">
        <v>122</v>
      </c>
      <c r="D915" s="83">
        <f>SUM(D910:D914)</f>
        <v>783100</v>
      </c>
      <c r="E915" s="100">
        <f>SUM(E910:E914)</f>
        <v>13.686592226549214</v>
      </c>
    </row>
    <row r="917" spans="1:5" x14ac:dyDescent="0.25">
      <c r="A917" s="279" t="s">
        <v>916</v>
      </c>
      <c r="B917" s="279"/>
      <c r="C917" s="279"/>
      <c r="D917" s="279"/>
      <c r="E917" s="279"/>
    </row>
    <row r="918" spans="1:5" x14ac:dyDescent="0.25">
      <c r="A918" s="72" t="s">
        <v>92</v>
      </c>
      <c r="B918" s="72" t="s">
        <v>226</v>
      </c>
      <c r="C918" s="72" t="s">
        <v>227</v>
      </c>
      <c r="D918" s="72" t="s">
        <v>228</v>
      </c>
      <c r="E918" s="73" t="s">
        <v>229</v>
      </c>
    </row>
    <row r="919" spans="1:5" x14ac:dyDescent="0.25">
      <c r="A919" s="74" t="s">
        <v>740</v>
      </c>
      <c r="B919" s="75">
        <f>INSUMOS!B155</f>
        <v>1100000</v>
      </c>
      <c r="C919" s="103">
        <v>1</v>
      </c>
      <c r="D919" s="75">
        <f>C919*B919</f>
        <v>1100000</v>
      </c>
      <c r="E919" s="102">
        <f>INSUMOS!E155</f>
        <v>42</v>
      </c>
    </row>
    <row r="920" spans="1:5" x14ac:dyDescent="0.25">
      <c r="A920" s="77" t="s">
        <v>735</v>
      </c>
      <c r="B920" s="78">
        <f>INSUMOS!B207</f>
        <v>240000</v>
      </c>
      <c r="C920" s="98">
        <v>1</v>
      </c>
      <c r="D920" s="75">
        <f>C920*B920</f>
        <v>240000</v>
      </c>
      <c r="E920" s="97">
        <f>INSUMOS!E207</f>
        <v>4</v>
      </c>
    </row>
    <row r="921" spans="1:5" x14ac:dyDescent="0.25">
      <c r="A921" s="77" t="s">
        <v>742</v>
      </c>
      <c r="B921" s="78">
        <f>INSUMOS!B356</f>
        <v>620000</v>
      </c>
      <c r="C921" s="98">
        <v>1</v>
      </c>
      <c r="D921" s="75">
        <f>C921*B921</f>
        <v>620000</v>
      </c>
      <c r="E921" s="105" t="s">
        <v>232</v>
      </c>
    </row>
    <row r="922" spans="1:5" x14ac:dyDescent="0.25">
      <c r="A922" s="77" t="s">
        <v>743</v>
      </c>
      <c r="B922" s="78">
        <f>INSUMOS!B375</f>
        <v>330000</v>
      </c>
      <c r="C922" s="98">
        <v>1</v>
      </c>
      <c r="D922" s="75">
        <f>C922*B922</f>
        <v>330000</v>
      </c>
      <c r="E922" s="105"/>
    </row>
    <row r="923" spans="1:5" x14ac:dyDescent="0.25">
      <c r="A923" s="77" t="s">
        <v>744</v>
      </c>
      <c r="B923" s="78">
        <f>INSUMOS!B319</f>
        <v>150000</v>
      </c>
      <c r="C923" s="98">
        <v>1</v>
      </c>
      <c r="D923" s="75">
        <f>C923*B923</f>
        <v>150000</v>
      </c>
      <c r="E923" s="105"/>
    </row>
    <row r="924" spans="1:5" x14ac:dyDescent="0.25">
      <c r="A924" s="82"/>
      <c r="B924" s="83"/>
      <c r="C924" s="83" t="s">
        <v>122</v>
      </c>
      <c r="D924" s="83">
        <f>SUM(D919:D923)</f>
        <v>2440000</v>
      </c>
      <c r="E924" s="100">
        <f>SUM(E919:E923)</f>
        <v>46</v>
      </c>
    </row>
    <row r="926" spans="1:5" x14ac:dyDescent="0.25">
      <c r="A926" s="279" t="s">
        <v>917</v>
      </c>
      <c r="B926" s="279"/>
      <c r="C926" s="279"/>
      <c r="D926" s="279"/>
      <c r="E926" s="279"/>
    </row>
    <row r="927" spans="1:5" x14ac:dyDescent="0.25">
      <c r="A927" s="72" t="s">
        <v>92</v>
      </c>
      <c r="B927" s="72" t="s">
        <v>226</v>
      </c>
      <c r="C927" s="72" t="s">
        <v>227</v>
      </c>
      <c r="D927" s="72" t="s">
        <v>228</v>
      </c>
      <c r="E927" s="73" t="s">
        <v>229</v>
      </c>
    </row>
    <row r="928" spans="1:5" x14ac:dyDescent="0.25">
      <c r="A928" s="74" t="s">
        <v>918</v>
      </c>
      <c r="B928" s="75">
        <f>INSUMOS!B146</f>
        <v>95000</v>
      </c>
      <c r="C928" s="103">
        <v>1</v>
      </c>
      <c r="D928" s="75">
        <f>C928*B928</f>
        <v>95000</v>
      </c>
      <c r="E928" s="102">
        <f>INSUMOS!E146</f>
        <v>0.9</v>
      </c>
    </row>
    <row r="929" spans="1:5" x14ac:dyDescent="0.25">
      <c r="A929" s="77" t="s">
        <v>658</v>
      </c>
      <c r="B929" s="78">
        <f>INSUMOS!B5</f>
        <v>154000</v>
      </c>
      <c r="C929" s="98">
        <v>0.15</v>
      </c>
      <c r="D929" s="75">
        <f>C929*B929</f>
        <v>23100</v>
      </c>
      <c r="E929" s="97">
        <f>C929*INSUMOS!E5</f>
        <v>2.3865922265492139</v>
      </c>
    </row>
    <row r="930" spans="1:5" x14ac:dyDescent="0.25">
      <c r="A930" s="77" t="s">
        <v>659</v>
      </c>
      <c r="B930" s="78">
        <f>INSUMOS!B297</f>
        <v>200000</v>
      </c>
      <c r="C930" s="98">
        <v>1</v>
      </c>
      <c r="D930" s="75">
        <f>C930*B930</f>
        <v>200000</v>
      </c>
      <c r="E930" s="105" t="s">
        <v>232</v>
      </c>
    </row>
    <row r="931" spans="1:5" x14ac:dyDescent="0.25">
      <c r="A931" s="77" t="s">
        <v>712</v>
      </c>
      <c r="B931" s="78">
        <f>INSUMOS!B347</f>
        <v>120000</v>
      </c>
      <c r="C931" s="98">
        <v>1</v>
      </c>
      <c r="D931" s="75">
        <f>C931*B931</f>
        <v>120000</v>
      </c>
      <c r="E931" s="105"/>
    </row>
    <row r="932" spans="1:5" x14ac:dyDescent="0.25">
      <c r="A932" s="77" t="s">
        <v>713</v>
      </c>
      <c r="B932" s="78">
        <f>INSUMOS!B310</f>
        <v>30000</v>
      </c>
      <c r="C932" s="98">
        <v>1</v>
      </c>
      <c r="D932" s="75">
        <f>C932*B932</f>
        <v>30000</v>
      </c>
      <c r="E932" s="105"/>
    </row>
    <row r="933" spans="1:5" x14ac:dyDescent="0.25">
      <c r="A933" s="82"/>
      <c r="B933" s="83"/>
      <c r="C933" s="83" t="s">
        <v>122</v>
      </c>
      <c r="D933" s="83">
        <f>SUM(D928:D932)</f>
        <v>468100</v>
      </c>
      <c r="E933" s="100">
        <f>SUM(E928:E932)</f>
        <v>3.2865922265492138</v>
      </c>
    </row>
    <row r="935" spans="1:5" x14ac:dyDescent="0.25">
      <c r="A935" s="279" t="s">
        <v>919</v>
      </c>
      <c r="B935" s="279"/>
      <c r="C935" s="279"/>
      <c r="D935" s="279"/>
      <c r="E935" s="279"/>
    </row>
    <row r="936" spans="1:5" x14ac:dyDescent="0.25">
      <c r="A936" s="72" t="s">
        <v>92</v>
      </c>
      <c r="B936" s="72" t="s">
        <v>93</v>
      </c>
      <c r="C936" s="72" t="s">
        <v>227</v>
      </c>
      <c r="D936" s="72" t="s">
        <v>228</v>
      </c>
      <c r="E936" s="114" t="s">
        <v>229</v>
      </c>
    </row>
    <row r="937" spans="1:5" x14ac:dyDescent="0.25">
      <c r="A937" s="74" t="s">
        <v>920</v>
      </c>
      <c r="B937" s="75">
        <f>INSUMOS!B173</f>
        <v>250000</v>
      </c>
      <c r="C937" s="103">
        <v>1</v>
      </c>
      <c r="D937" s="75">
        <f>C937*B937</f>
        <v>250000</v>
      </c>
      <c r="E937" s="102">
        <f>INSUMOS!E173</f>
        <v>5.5</v>
      </c>
    </row>
    <row r="938" spans="1:5" x14ac:dyDescent="0.25">
      <c r="A938" s="77" t="s">
        <v>921</v>
      </c>
      <c r="B938" s="78">
        <f>INSUMOS!B222</f>
        <v>180000</v>
      </c>
      <c r="C938" s="98">
        <v>1</v>
      </c>
      <c r="D938" s="75">
        <f>C938*B938</f>
        <v>180000</v>
      </c>
      <c r="E938" s="97">
        <f>INSUMOS!E222</f>
        <v>6</v>
      </c>
    </row>
    <row r="939" spans="1:5" x14ac:dyDescent="0.25">
      <c r="A939" s="77" t="s">
        <v>922</v>
      </c>
      <c r="B939" s="78">
        <f>INSUMOS!B363</f>
        <v>230000</v>
      </c>
      <c r="C939" s="98">
        <v>1</v>
      </c>
      <c r="D939" s="75">
        <f>C939*B939</f>
        <v>230000</v>
      </c>
      <c r="E939" s="105" t="s">
        <v>232</v>
      </c>
    </row>
    <row r="940" spans="1:5" x14ac:dyDescent="0.25">
      <c r="A940" s="77" t="s">
        <v>923</v>
      </c>
      <c r="B940" s="78">
        <f>INSUMOS!B337</f>
        <v>60000</v>
      </c>
      <c r="C940" s="98">
        <v>1</v>
      </c>
      <c r="D940" s="75">
        <f>C940*B940</f>
        <v>60000</v>
      </c>
      <c r="E940" s="105"/>
    </row>
    <row r="941" spans="1:5" x14ac:dyDescent="0.25">
      <c r="A941" s="82"/>
      <c r="B941" s="83"/>
      <c r="C941" s="83" t="s">
        <v>122</v>
      </c>
      <c r="D941" s="83">
        <f>SUM(D937:D940)</f>
        <v>720000</v>
      </c>
      <c r="E941" s="100">
        <f>SUM(E937:E940)</f>
        <v>11.5</v>
      </c>
    </row>
    <row r="943" spans="1:5" x14ac:dyDescent="0.25">
      <c r="A943" s="279" t="s">
        <v>924</v>
      </c>
      <c r="B943" s="279"/>
      <c r="C943" s="279"/>
      <c r="D943" s="279"/>
      <c r="E943" s="279"/>
    </row>
    <row r="944" spans="1:5" x14ac:dyDescent="0.25">
      <c r="A944" s="72" t="s">
        <v>92</v>
      </c>
      <c r="B944" s="72" t="s">
        <v>226</v>
      </c>
      <c r="C944" s="72" t="s">
        <v>227</v>
      </c>
      <c r="D944" s="72" t="s">
        <v>228</v>
      </c>
      <c r="E944" s="73" t="s">
        <v>229</v>
      </c>
    </row>
    <row r="945" spans="1:5" x14ac:dyDescent="0.25">
      <c r="A945" s="74" t="s">
        <v>925</v>
      </c>
      <c r="B945" s="75">
        <f>INSUMOS!B171</f>
        <v>150000</v>
      </c>
      <c r="C945" s="103">
        <v>1</v>
      </c>
      <c r="D945" s="75">
        <f>C945*B945</f>
        <v>150000</v>
      </c>
      <c r="E945" s="102">
        <f>INSUMOS!E171</f>
        <v>3.2</v>
      </c>
    </row>
    <row r="946" spans="1:5" x14ac:dyDescent="0.25">
      <c r="A946" s="77" t="s">
        <v>658</v>
      </c>
      <c r="B946" s="78">
        <f>INSUMOS!B5</f>
        <v>154000</v>
      </c>
      <c r="C946" s="98">
        <v>0.18</v>
      </c>
      <c r="D946" s="75">
        <f>C946*B946</f>
        <v>27720</v>
      </c>
      <c r="E946" s="97">
        <f>C946*INSUMOS!E5</f>
        <v>2.863910671859057</v>
      </c>
    </row>
    <row r="947" spans="1:5" x14ac:dyDescent="0.25">
      <c r="A947" s="77" t="s">
        <v>659</v>
      </c>
      <c r="B947" s="78">
        <f>INSUMOS!B297</f>
        <v>200000</v>
      </c>
      <c r="C947" s="98">
        <v>1</v>
      </c>
      <c r="D947" s="75">
        <f>C947*B947</f>
        <v>200000</v>
      </c>
      <c r="E947" s="105"/>
    </row>
    <row r="948" spans="1:5" x14ac:dyDescent="0.25">
      <c r="A948" s="77" t="s">
        <v>926</v>
      </c>
      <c r="B948" s="78">
        <f>INSUMOS!B361</f>
        <v>200000</v>
      </c>
      <c r="C948" s="98">
        <v>1</v>
      </c>
      <c r="D948" s="75">
        <f>C948*B948</f>
        <v>200000</v>
      </c>
      <c r="E948" s="105"/>
    </row>
    <row r="949" spans="1:5" x14ac:dyDescent="0.25">
      <c r="A949" s="77" t="s">
        <v>927</v>
      </c>
      <c r="B949" s="78">
        <f>INSUMOS!B335</f>
        <v>40000</v>
      </c>
      <c r="C949" s="98">
        <v>1</v>
      </c>
      <c r="D949" s="75">
        <f>C949*B949</f>
        <v>40000</v>
      </c>
      <c r="E949" s="105"/>
    </row>
    <row r="950" spans="1:5" x14ac:dyDescent="0.25">
      <c r="A950" s="82"/>
      <c r="B950" s="83"/>
      <c r="C950" s="83" t="s">
        <v>122</v>
      </c>
      <c r="D950" s="83">
        <f>SUM(D945:D949)</f>
        <v>617720</v>
      </c>
      <c r="E950" s="100">
        <f>SUM(E945:E949)</f>
        <v>6.0639106718590572</v>
      </c>
    </row>
    <row r="952" spans="1:5" x14ac:dyDescent="0.25">
      <c r="A952" s="279" t="s">
        <v>928</v>
      </c>
      <c r="B952" s="279"/>
      <c r="C952" s="279"/>
      <c r="D952" s="279"/>
      <c r="E952" s="279"/>
    </row>
    <row r="953" spans="1:5" x14ac:dyDescent="0.25">
      <c r="A953" s="72" t="s">
        <v>92</v>
      </c>
      <c r="B953" s="72" t="s">
        <v>226</v>
      </c>
      <c r="C953" s="72" t="s">
        <v>227</v>
      </c>
      <c r="D953" s="72" t="s">
        <v>228</v>
      </c>
      <c r="E953" s="73" t="s">
        <v>229</v>
      </c>
    </row>
    <row r="954" spans="1:5" x14ac:dyDescent="0.25">
      <c r="A954" s="74" t="s">
        <v>929</v>
      </c>
      <c r="B954" s="75">
        <f>INSUMOS!B132</f>
        <v>170000</v>
      </c>
      <c r="C954" s="103">
        <v>1</v>
      </c>
      <c r="D954" s="75">
        <f>C954*B954</f>
        <v>170000</v>
      </c>
      <c r="E954" s="102">
        <f>INSUMOS!E132</f>
        <v>4.08</v>
      </c>
    </row>
    <row r="955" spans="1:5" x14ac:dyDescent="0.25">
      <c r="A955" s="77" t="s">
        <v>696</v>
      </c>
      <c r="B955" s="78">
        <f>INSUMOS!B7</f>
        <v>461000</v>
      </c>
      <c r="C955" s="98">
        <v>0.15</v>
      </c>
      <c r="D955" s="75">
        <f>C955*B955</f>
        <v>69150</v>
      </c>
      <c r="E955" s="97">
        <f>C955*INSUMOS!E7</f>
        <v>5.3698325097357316</v>
      </c>
    </row>
    <row r="956" spans="1:5" x14ac:dyDescent="0.25">
      <c r="A956" s="77" t="s">
        <v>697</v>
      </c>
      <c r="B956" s="78">
        <f>INSUMOS!B298</f>
        <v>250000</v>
      </c>
      <c r="C956" s="98">
        <v>1</v>
      </c>
      <c r="D956" s="75">
        <f>C956*B956</f>
        <v>250000</v>
      </c>
      <c r="E956" s="105" t="s">
        <v>232</v>
      </c>
    </row>
    <row r="957" spans="1:5" x14ac:dyDescent="0.25">
      <c r="A957" s="77" t="s">
        <v>662</v>
      </c>
      <c r="B957" s="78">
        <f>INSUMOS!B290</f>
        <v>130000</v>
      </c>
      <c r="C957" s="98">
        <v>1</v>
      </c>
      <c r="D957" s="75">
        <f>C957*B957</f>
        <v>130000</v>
      </c>
      <c r="E957" s="105"/>
    </row>
    <row r="958" spans="1:5" x14ac:dyDescent="0.25">
      <c r="A958" s="77" t="s">
        <v>663</v>
      </c>
      <c r="B958" s="78">
        <f>INSUMOS!B304</f>
        <v>60000</v>
      </c>
      <c r="C958" s="98">
        <v>1</v>
      </c>
      <c r="D958" s="75">
        <f>C958*B958</f>
        <v>60000</v>
      </c>
      <c r="E958" s="105"/>
    </row>
    <row r="959" spans="1:5" x14ac:dyDescent="0.25">
      <c r="A959" s="82"/>
      <c r="B959" s="83"/>
      <c r="C959" s="83" t="s">
        <v>122</v>
      </c>
      <c r="D959" s="83">
        <f>SUM(D954:D958)</f>
        <v>679150</v>
      </c>
      <c r="E959" s="100">
        <f>SUM(E954:E958)</f>
        <v>9.4498325097357316</v>
      </c>
    </row>
    <row r="961" spans="1:5" x14ac:dyDescent="0.25">
      <c r="A961" s="279" t="s">
        <v>930</v>
      </c>
      <c r="B961" s="279"/>
      <c r="C961" s="279"/>
      <c r="D961" s="279"/>
      <c r="E961" s="279"/>
    </row>
    <row r="962" spans="1:5" x14ac:dyDescent="0.25">
      <c r="A962" s="72" t="s">
        <v>92</v>
      </c>
      <c r="B962" s="72" t="s">
        <v>226</v>
      </c>
      <c r="C962" s="72" t="s">
        <v>227</v>
      </c>
      <c r="D962" s="72" t="s">
        <v>228</v>
      </c>
      <c r="E962" s="73" t="s">
        <v>229</v>
      </c>
    </row>
    <row r="963" spans="1:5" x14ac:dyDescent="0.25">
      <c r="A963" s="74" t="s">
        <v>931</v>
      </c>
      <c r="B963" s="75">
        <f>INSUMOS!B131</f>
        <v>150000</v>
      </c>
      <c r="C963" s="103">
        <v>1</v>
      </c>
      <c r="D963" s="75">
        <f>C963*B963</f>
        <v>150000</v>
      </c>
      <c r="E963" s="102">
        <f>INSUMOS!E131</f>
        <v>4</v>
      </c>
    </row>
    <row r="964" spans="1:5" x14ac:dyDescent="0.25">
      <c r="A964" s="77" t="s">
        <v>696</v>
      </c>
      <c r="B964" s="78">
        <f>INSUMOS!B7</f>
        <v>461000</v>
      </c>
      <c r="C964" s="98">
        <v>0.15</v>
      </c>
      <c r="D964" s="75">
        <f>C964*B964</f>
        <v>69150</v>
      </c>
      <c r="E964" s="97">
        <f>C964*INSUMOS!E7</f>
        <v>5.3698325097357316</v>
      </c>
    </row>
    <row r="965" spans="1:5" x14ac:dyDescent="0.25">
      <c r="A965" s="77" t="s">
        <v>697</v>
      </c>
      <c r="B965" s="78">
        <f>INSUMOS!B298</f>
        <v>250000</v>
      </c>
      <c r="C965" s="98">
        <v>1</v>
      </c>
      <c r="D965" s="75">
        <f>C965*B965</f>
        <v>250000</v>
      </c>
      <c r="E965" s="105" t="s">
        <v>232</v>
      </c>
    </row>
    <row r="966" spans="1:5" x14ac:dyDescent="0.25">
      <c r="A966" s="77" t="s">
        <v>672</v>
      </c>
      <c r="B966" s="78">
        <f>INSUMOS!B290</f>
        <v>130000</v>
      </c>
      <c r="C966" s="98">
        <v>1</v>
      </c>
      <c r="D966" s="75">
        <f>C966*B966</f>
        <v>130000</v>
      </c>
      <c r="E966" s="105"/>
    </row>
    <row r="967" spans="1:5" x14ac:dyDescent="0.25">
      <c r="A967" s="77" t="s">
        <v>673</v>
      </c>
      <c r="B967" s="78">
        <f>INSUMOS!B303</f>
        <v>50000</v>
      </c>
      <c r="C967" s="98">
        <v>1</v>
      </c>
      <c r="D967" s="75">
        <f>C967*B967</f>
        <v>50000</v>
      </c>
      <c r="E967" s="105"/>
    </row>
    <row r="968" spans="1:5" x14ac:dyDescent="0.25">
      <c r="A968" s="82"/>
      <c r="B968" s="83"/>
      <c r="C968" s="83" t="s">
        <v>122</v>
      </c>
      <c r="D968" s="83">
        <f>SUM(D963:D967)</f>
        <v>649150</v>
      </c>
      <c r="E968" s="100">
        <f>SUM(E963:E967)</f>
        <v>9.3698325097357316</v>
      </c>
    </row>
    <row r="970" spans="1:5" x14ac:dyDescent="0.25">
      <c r="A970" s="279" t="s">
        <v>932</v>
      </c>
      <c r="B970" s="279"/>
      <c r="C970" s="279"/>
      <c r="D970" s="279"/>
      <c r="E970" s="279"/>
    </row>
    <row r="971" spans="1:5" x14ac:dyDescent="0.25">
      <c r="A971" s="72" t="s">
        <v>92</v>
      </c>
      <c r="B971" s="72" t="s">
        <v>226</v>
      </c>
      <c r="C971" s="72" t="s">
        <v>227</v>
      </c>
      <c r="D971" s="72" t="s">
        <v>228</v>
      </c>
      <c r="E971" s="73" t="s">
        <v>229</v>
      </c>
    </row>
    <row r="972" spans="1:5" x14ac:dyDescent="0.25">
      <c r="A972" s="74" t="s">
        <v>933</v>
      </c>
      <c r="B972" s="75">
        <f>INSUMOS!B150</f>
        <v>180000</v>
      </c>
      <c r="C972" s="103">
        <v>1</v>
      </c>
      <c r="D972" s="75">
        <f>C972*B972</f>
        <v>180000</v>
      </c>
      <c r="E972" s="102">
        <f>INSUMOS!E150</f>
        <v>5.5</v>
      </c>
    </row>
    <row r="973" spans="1:5" x14ac:dyDescent="0.25">
      <c r="A973" s="77" t="s">
        <v>696</v>
      </c>
      <c r="B973" s="78">
        <f>INSUMOS!B7</f>
        <v>461000</v>
      </c>
      <c r="C973" s="98">
        <v>0.15</v>
      </c>
      <c r="D973" s="75">
        <f>C973*B973</f>
        <v>69150</v>
      </c>
      <c r="E973" s="97">
        <f>C973*INSUMOS!E7</f>
        <v>5.3698325097357316</v>
      </c>
    </row>
    <row r="974" spans="1:5" x14ac:dyDescent="0.25">
      <c r="A974" s="77" t="s">
        <v>697</v>
      </c>
      <c r="B974" s="78">
        <f>INSUMOS!B298</f>
        <v>250000</v>
      </c>
      <c r="C974" s="98">
        <v>1</v>
      </c>
      <c r="D974" s="75">
        <f>C974*B974</f>
        <v>250000</v>
      </c>
      <c r="E974" s="105" t="s">
        <v>232</v>
      </c>
    </row>
    <row r="975" spans="1:5" x14ac:dyDescent="0.25">
      <c r="A975" s="77" t="s">
        <v>721</v>
      </c>
      <c r="B975" s="78">
        <f>INSUMOS!B351</f>
        <v>200000</v>
      </c>
      <c r="C975" s="98">
        <v>1</v>
      </c>
      <c r="D975" s="75">
        <f>C975*B975</f>
        <v>200000</v>
      </c>
      <c r="E975" s="105"/>
    </row>
    <row r="976" spans="1:5" x14ac:dyDescent="0.25">
      <c r="A976" s="77" t="s">
        <v>722</v>
      </c>
      <c r="B976" s="78">
        <f>INSUMOS!B314</f>
        <v>60000</v>
      </c>
      <c r="C976" s="98">
        <v>1</v>
      </c>
      <c r="D976" s="75">
        <f>C976*B976</f>
        <v>60000</v>
      </c>
      <c r="E976" s="105"/>
    </row>
    <row r="977" spans="1:5" x14ac:dyDescent="0.25">
      <c r="A977" s="82"/>
      <c r="B977" s="83"/>
      <c r="C977" s="83" t="s">
        <v>122</v>
      </c>
      <c r="D977" s="83">
        <f>SUM(D972:D976)</f>
        <v>759150</v>
      </c>
      <c r="E977" s="100">
        <f>SUM(E972:E976)</f>
        <v>10.869832509735732</v>
      </c>
    </row>
    <row r="979" spans="1:5" x14ac:dyDescent="0.25">
      <c r="A979" s="279" t="s">
        <v>934</v>
      </c>
      <c r="B979" s="279"/>
      <c r="C979" s="279"/>
      <c r="D979" s="279"/>
      <c r="E979" s="279"/>
    </row>
    <row r="980" spans="1:5" x14ac:dyDescent="0.25">
      <c r="A980" s="72" t="s">
        <v>92</v>
      </c>
      <c r="B980" s="72" t="s">
        <v>226</v>
      </c>
      <c r="C980" s="72" t="s">
        <v>227</v>
      </c>
      <c r="D980" s="72" t="s">
        <v>228</v>
      </c>
      <c r="E980" s="73" t="s">
        <v>229</v>
      </c>
    </row>
    <row r="981" spans="1:5" x14ac:dyDescent="0.25">
      <c r="A981" s="74" t="s">
        <v>691</v>
      </c>
      <c r="B981" s="75">
        <f>INSUMOS!B148</f>
        <v>120000</v>
      </c>
      <c r="C981" s="103">
        <v>1</v>
      </c>
      <c r="D981" s="75">
        <f>C981*B981</f>
        <v>120000</v>
      </c>
      <c r="E981" s="102">
        <f>INSUMOS!E148</f>
        <v>3.2</v>
      </c>
    </row>
    <row r="982" spans="1:5" x14ac:dyDescent="0.25">
      <c r="A982" s="77" t="s">
        <v>696</v>
      </c>
      <c r="B982" s="78">
        <f>INSUMOS!B7</f>
        <v>461000</v>
      </c>
      <c r="C982" s="98">
        <v>0.2</v>
      </c>
      <c r="D982" s="75">
        <f>C982*B982</f>
        <v>92200</v>
      </c>
      <c r="E982" s="97">
        <f>C982*INSUMOS!E7</f>
        <v>7.1597766796476421</v>
      </c>
    </row>
    <row r="983" spans="1:5" x14ac:dyDescent="0.25">
      <c r="A983" s="77" t="s">
        <v>697</v>
      </c>
      <c r="B983" s="78">
        <f>INSUMOS!B298</f>
        <v>250000</v>
      </c>
      <c r="C983" s="98">
        <v>1</v>
      </c>
      <c r="D983" s="75">
        <f>C983*B983</f>
        <v>250000</v>
      </c>
      <c r="E983" s="105" t="s">
        <v>232</v>
      </c>
    </row>
    <row r="984" spans="1:5" x14ac:dyDescent="0.25">
      <c r="A984" s="77" t="s">
        <v>692</v>
      </c>
      <c r="B984" s="78">
        <f>INSUMOS!B349</f>
        <v>120000</v>
      </c>
      <c r="C984" s="98">
        <v>1</v>
      </c>
      <c r="D984" s="75">
        <f>C984*B984</f>
        <v>120000</v>
      </c>
      <c r="E984" s="105"/>
    </row>
    <row r="985" spans="1:5" x14ac:dyDescent="0.25">
      <c r="A985" s="77" t="s">
        <v>693</v>
      </c>
      <c r="B985" s="78">
        <f>INSUMOS!B312</f>
        <v>45000</v>
      </c>
      <c r="C985" s="98">
        <v>1</v>
      </c>
      <c r="D985" s="75">
        <f>C985*B985</f>
        <v>45000</v>
      </c>
      <c r="E985" s="105"/>
    </row>
    <row r="986" spans="1:5" x14ac:dyDescent="0.25">
      <c r="A986" s="82"/>
      <c r="B986" s="83"/>
      <c r="C986" s="83" t="s">
        <v>122</v>
      </c>
      <c r="D986" s="83">
        <f>SUM(D981:D985)</f>
        <v>627200</v>
      </c>
      <c r="E986" s="100">
        <f>SUM(E981:E985)</f>
        <v>10.359776679647641</v>
      </c>
    </row>
    <row r="988" spans="1:5" x14ac:dyDescent="0.25">
      <c r="A988" s="279" t="s">
        <v>935</v>
      </c>
      <c r="B988" s="279"/>
      <c r="C988" s="279"/>
      <c r="D988" s="279"/>
      <c r="E988" s="279"/>
    </row>
    <row r="989" spans="1:5" x14ac:dyDescent="0.25">
      <c r="A989" s="72" t="s">
        <v>92</v>
      </c>
      <c r="B989" s="72" t="s">
        <v>226</v>
      </c>
      <c r="C989" s="72" t="s">
        <v>227</v>
      </c>
      <c r="D989" s="72" t="s">
        <v>228</v>
      </c>
      <c r="E989" s="73" t="s">
        <v>229</v>
      </c>
    </row>
    <row r="990" spans="1:5" x14ac:dyDescent="0.25">
      <c r="A990" s="74" t="s">
        <v>675</v>
      </c>
      <c r="B990" s="75">
        <f>INSUMOS!B149</f>
        <v>150000</v>
      </c>
      <c r="C990" s="103">
        <v>1</v>
      </c>
      <c r="D990" s="75">
        <f>C990*B990</f>
        <v>150000</v>
      </c>
      <c r="E990" s="102">
        <f>INSUMOS!E149</f>
        <v>4.8</v>
      </c>
    </row>
    <row r="991" spans="1:5" x14ac:dyDescent="0.25">
      <c r="A991" s="77" t="s">
        <v>696</v>
      </c>
      <c r="B991" s="78">
        <f>INSUMOS!B7</f>
        <v>461000</v>
      </c>
      <c r="C991" s="98">
        <v>0.15</v>
      </c>
      <c r="D991" s="75">
        <f>C991*B991</f>
        <v>69150</v>
      </c>
      <c r="E991" s="97">
        <f>C991*INSUMOS!E7</f>
        <v>5.3698325097357316</v>
      </c>
    </row>
    <row r="992" spans="1:5" x14ac:dyDescent="0.25">
      <c r="A992" s="77" t="s">
        <v>697</v>
      </c>
      <c r="B992" s="78">
        <f>INSUMOS!B298</f>
        <v>250000</v>
      </c>
      <c r="C992" s="98">
        <v>1</v>
      </c>
      <c r="D992" s="75">
        <f>C992*B992</f>
        <v>250000</v>
      </c>
      <c r="E992" s="105"/>
    </row>
    <row r="993" spans="1:5" x14ac:dyDescent="0.25">
      <c r="A993" s="77" t="s">
        <v>676</v>
      </c>
      <c r="B993" s="78">
        <f>INSUMOS!B350</f>
        <v>150000</v>
      </c>
      <c r="C993" s="98">
        <v>1</v>
      </c>
      <c r="D993" s="75">
        <f>C993*B993</f>
        <v>150000</v>
      </c>
      <c r="E993" s="105"/>
    </row>
    <row r="994" spans="1:5" x14ac:dyDescent="0.25">
      <c r="A994" s="77" t="s">
        <v>677</v>
      </c>
      <c r="B994" s="78">
        <f>INSUMOS!B313</f>
        <v>50000</v>
      </c>
      <c r="C994" s="98">
        <v>1</v>
      </c>
      <c r="D994" s="75">
        <f>C994*B994</f>
        <v>50000</v>
      </c>
      <c r="E994" s="105"/>
    </row>
    <row r="995" spans="1:5" x14ac:dyDescent="0.25">
      <c r="A995" s="82"/>
      <c r="B995" s="83"/>
      <c r="C995" s="83" t="s">
        <v>122</v>
      </c>
      <c r="D995" s="83">
        <f>SUM(D990:D994)</f>
        <v>669150</v>
      </c>
      <c r="E995" s="100">
        <f>SUM(E990:E994)</f>
        <v>10.16983250973573</v>
      </c>
    </row>
    <row r="997" spans="1:5" x14ac:dyDescent="0.25">
      <c r="A997" s="279" t="s">
        <v>936</v>
      </c>
      <c r="B997" s="279"/>
      <c r="C997" s="279"/>
      <c r="D997" s="279"/>
      <c r="E997" s="279"/>
    </row>
    <row r="998" spans="1:5" x14ac:dyDescent="0.25">
      <c r="A998" s="72" t="s">
        <v>92</v>
      </c>
      <c r="B998" s="72" t="s">
        <v>226</v>
      </c>
      <c r="C998" s="72" t="s">
        <v>227</v>
      </c>
      <c r="D998" s="72" t="s">
        <v>228</v>
      </c>
      <c r="E998" s="73" t="s">
        <v>229</v>
      </c>
    </row>
    <row r="999" spans="1:5" x14ac:dyDescent="0.25">
      <c r="A999" s="74" t="s">
        <v>661</v>
      </c>
      <c r="B999" s="75">
        <f>INSUMOS!B132</f>
        <v>170000</v>
      </c>
      <c r="C999" s="103">
        <v>1</v>
      </c>
      <c r="D999" s="75">
        <f>C999*B999</f>
        <v>170000</v>
      </c>
      <c r="E999" s="102">
        <f>INSUMOS!E132</f>
        <v>4.08</v>
      </c>
    </row>
    <row r="1000" spans="1:5" x14ac:dyDescent="0.25">
      <c r="A1000" s="77" t="s">
        <v>706</v>
      </c>
      <c r="B1000" s="78">
        <f>INSUMOS!B243</f>
        <v>310000</v>
      </c>
      <c r="C1000" s="98">
        <v>1</v>
      </c>
      <c r="D1000" s="75">
        <f>C1000*B1000</f>
        <v>310000</v>
      </c>
      <c r="E1000" s="97">
        <f>INSUMOS!E243</f>
        <v>6</v>
      </c>
    </row>
    <row r="1001" spans="1:5" x14ac:dyDescent="0.25">
      <c r="A1001" s="77" t="s">
        <v>937</v>
      </c>
      <c r="B1001" s="96">
        <f>INSUMOS!B393</f>
        <v>80000</v>
      </c>
      <c r="C1001" s="98">
        <v>1</v>
      </c>
      <c r="D1001" s="75">
        <f>C1001*B1001</f>
        <v>80000</v>
      </c>
      <c r="E1001" s="97"/>
    </row>
    <row r="1002" spans="1:5" x14ac:dyDescent="0.25">
      <c r="A1002" s="77" t="s">
        <v>662</v>
      </c>
      <c r="B1002" s="78">
        <f>INSUMOS!B290</f>
        <v>130000</v>
      </c>
      <c r="C1002" s="98">
        <v>1</v>
      </c>
      <c r="D1002" s="75">
        <f>C1002*B1002</f>
        <v>130000</v>
      </c>
      <c r="E1002" s="105" t="s">
        <v>232</v>
      </c>
    </row>
    <row r="1003" spans="1:5" x14ac:dyDescent="0.25">
      <c r="A1003" s="77" t="s">
        <v>663</v>
      </c>
      <c r="B1003" s="78">
        <f>INSUMOS!B304</f>
        <v>60000</v>
      </c>
      <c r="C1003" s="98">
        <v>1</v>
      </c>
      <c r="D1003" s="75">
        <f>C1003*B1003</f>
        <v>60000</v>
      </c>
      <c r="E1003" s="105"/>
    </row>
    <row r="1004" spans="1:5" x14ac:dyDescent="0.25">
      <c r="A1004" s="82"/>
      <c r="B1004" s="83"/>
      <c r="C1004" s="113" t="s">
        <v>122</v>
      </c>
      <c r="D1004" s="83">
        <f>SUM(D999:D1003)</f>
        <v>750000</v>
      </c>
      <c r="E1004" s="100">
        <f>SUM(E999:E1003)</f>
        <v>10.08</v>
      </c>
    </row>
    <row r="1006" spans="1:5" x14ac:dyDescent="0.25">
      <c r="A1006" s="279" t="s">
        <v>938</v>
      </c>
      <c r="B1006" s="279"/>
      <c r="C1006" s="279"/>
      <c r="D1006" s="279"/>
      <c r="E1006" s="279"/>
    </row>
    <row r="1007" spans="1:5" x14ac:dyDescent="0.25">
      <c r="A1007" s="72" t="s">
        <v>92</v>
      </c>
      <c r="B1007" s="72" t="s">
        <v>93</v>
      </c>
      <c r="C1007" s="72" t="s">
        <v>227</v>
      </c>
      <c r="D1007" s="72" t="s">
        <v>228</v>
      </c>
      <c r="E1007" s="114" t="s">
        <v>229</v>
      </c>
    </row>
    <row r="1008" spans="1:5" x14ac:dyDescent="0.25">
      <c r="A1008" s="74" t="s">
        <v>780</v>
      </c>
      <c r="B1008" s="75">
        <f>INSUMOS!B192</f>
        <v>420000</v>
      </c>
      <c r="C1008" s="103">
        <v>1</v>
      </c>
      <c r="D1008" s="75">
        <f t="shared" ref="D1008:D1013" si="13">C1008*B1008</f>
        <v>420000</v>
      </c>
      <c r="E1008" s="102">
        <f>INSUMOS!E192</f>
        <v>62</v>
      </c>
    </row>
    <row r="1009" spans="1:5" x14ac:dyDescent="0.25">
      <c r="A1009" s="77" t="s">
        <v>939</v>
      </c>
      <c r="B1009" s="78">
        <f>INSUMOS!B212</f>
        <v>550000</v>
      </c>
      <c r="C1009" s="98">
        <v>1</v>
      </c>
      <c r="D1009" s="75">
        <f t="shared" si="13"/>
        <v>550000</v>
      </c>
      <c r="E1009" s="97">
        <f>INSUMOS!E236</f>
        <v>13</v>
      </c>
    </row>
    <row r="1010" spans="1:5" x14ac:dyDescent="0.25">
      <c r="A1010" s="77" t="s">
        <v>782</v>
      </c>
      <c r="B1010" s="78">
        <f>INSUMOS!B416</f>
        <v>476000</v>
      </c>
      <c r="C1010" s="98">
        <v>1</v>
      </c>
      <c r="D1010" s="75">
        <f t="shared" si="13"/>
        <v>476000</v>
      </c>
      <c r="E1010" s="112"/>
    </row>
    <row r="1011" spans="1:5" x14ac:dyDescent="0.25">
      <c r="A1011" s="77" t="s">
        <v>783</v>
      </c>
      <c r="B1011" s="78">
        <f>INSUMOS!B380</f>
        <v>180000</v>
      </c>
      <c r="C1011" s="98">
        <v>1</v>
      </c>
      <c r="D1011" s="75">
        <f t="shared" si="13"/>
        <v>180000</v>
      </c>
      <c r="E1011" s="105"/>
    </row>
    <row r="1012" spans="1:5" x14ac:dyDescent="0.25">
      <c r="A1012" s="77" t="s">
        <v>940</v>
      </c>
      <c r="B1012" s="78">
        <f>INSUMOS!B395</f>
        <v>170000</v>
      </c>
      <c r="C1012" s="98">
        <v>1</v>
      </c>
      <c r="D1012" s="75">
        <f t="shared" si="13"/>
        <v>170000</v>
      </c>
      <c r="E1012" s="105"/>
    </row>
    <row r="1013" spans="1:5" x14ac:dyDescent="0.25">
      <c r="A1013" s="77" t="s">
        <v>784</v>
      </c>
      <c r="B1013" s="78">
        <f>INSUMOS!B328</f>
        <v>100000</v>
      </c>
      <c r="C1013" s="98">
        <v>1</v>
      </c>
      <c r="D1013" s="75">
        <f t="shared" si="13"/>
        <v>100000</v>
      </c>
      <c r="E1013" s="105"/>
    </row>
    <row r="1014" spans="1:5" x14ac:dyDescent="0.25">
      <c r="A1014" s="82"/>
      <c r="B1014" s="83"/>
      <c r="C1014" s="83" t="s">
        <v>122</v>
      </c>
      <c r="D1014" s="83">
        <f>SUM(D1008:D1013)</f>
        <v>1896000</v>
      </c>
      <c r="E1014" s="100">
        <f>SUM(E1008:E1013)</f>
        <v>75</v>
      </c>
    </row>
    <row r="1016" spans="1:5" x14ac:dyDescent="0.25">
      <c r="A1016" s="279" t="s">
        <v>941</v>
      </c>
      <c r="B1016" s="279"/>
      <c r="C1016" s="279"/>
      <c r="D1016" s="279"/>
      <c r="E1016" s="279"/>
    </row>
    <row r="1017" spans="1:5" x14ac:dyDescent="0.25">
      <c r="A1017" s="72" t="s">
        <v>92</v>
      </c>
      <c r="B1017" s="72" t="s">
        <v>93</v>
      </c>
      <c r="C1017" s="72" t="s">
        <v>227</v>
      </c>
      <c r="D1017" s="72" t="s">
        <v>228</v>
      </c>
      <c r="E1017" s="114" t="s">
        <v>229</v>
      </c>
    </row>
    <row r="1018" spans="1:5" x14ac:dyDescent="0.25">
      <c r="A1018" s="74" t="s">
        <v>942</v>
      </c>
      <c r="B1018" s="75">
        <f>INSUMOS!B200</f>
        <v>1100000</v>
      </c>
      <c r="C1018" s="103">
        <v>1</v>
      </c>
      <c r="D1018" s="75">
        <f t="shared" ref="D1018:D1023" si="14">C1018*B1018</f>
        <v>1100000</v>
      </c>
      <c r="E1018" s="102">
        <f>INSUMOS!E200</f>
        <v>62</v>
      </c>
    </row>
    <row r="1019" spans="1:5" x14ac:dyDescent="0.25">
      <c r="A1019" s="77" t="s">
        <v>943</v>
      </c>
      <c r="B1019" s="78">
        <f>INSUMOS!B239</f>
        <v>600000</v>
      </c>
      <c r="C1019" s="98">
        <v>1</v>
      </c>
      <c r="D1019" s="75">
        <f t="shared" si="14"/>
        <v>600000</v>
      </c>
      <c r="E1019" s="97">
        <f>INSUMOS!E239</f>
        <v>13</v>
      </c>
    </row>
    <row r="1020" spans="1:5" x14ac:dyDescent="0.25">
      <c r="A1020" s="77" t="s">
        <v>782</v>
      </c>
      <c r="B1020" s="78">
        <f>INSUMOS!B416</f>
        <v>476000</v>
      </c>
      <c r="C1020" s="98">
        <v>1</v>
      </c>
      <c r="D1020" s="75">
        <f t="shared" si="14"/>
        <v>476000</v>
      </c>
      <c r="E1020" s="112"/>
    </row>
    <row r="1021" spans="1:5" x14ac:dyDescent="0.25">
      <c r="A1021" s="77" t="s">
        <v>783</v>
      </c>
      <c r="B1021" s="78">
        <f>INSUMOS!B380</f>
        <v>180000</v>
      </c>
      <c r="C1021" s="98">
        <v>1</v>
      </c>
      <c r="D1021" s="75">
        <f t="shared" si="14"/>
        <v>180000</v>
      </c>
      <c r="E1021" s="105"/>
    </row>
    <row r="1022" spans="1:5" x14ac:dyDescent="0.25">
      <c r="A1022" s="77" t="s">
        <v>940</v>
      </c>
      <c r="B1022" s="78">
        <f>INSUMOS!B395</f>
        <v>170000</v>
      </c>
      <c r="C1022" s="98">
        <v>1</v>
      </c>
      <c r="D1022" s="75">
        <f t="shared" si="14"/>
        <v>170000</v>
      </c>
      <c r="E1022" s="105"/>
    </row>
    <row r="1023" spans="1:5" x14ac:dyDescent="0.25">
      <c r="A1023" s="77" t="s">
        <v>784</v>
      </c>
      <c r="B1023" s="78">
        <f>INSUMOS!B328</f>
        <v>100000</v>
      </c>
      <c r="C1023" s="98">
        <v>1</v>
      </c>
      <c r="D1023" s="75">
        <f t="shared" si="14"/>
        <v>100000</v>
      </c>
      <c r="E1023" s="105"/>
    </row>
    <row r="1024" spans="1:5" x14ac:dyDescent="0.25">
      <c r="A1024" s="82"/>
      <c r="B1024" s="83"/>
      <c r="C1024" s="83" t="s">
        <v>122</v>
      </c>
      <c r="D1024" s="83">
        <f>SUM(D1018:D1023)</f>
        <v>2626000</v>
      </c>
      <c r="E1024" s="100">
        <f>SUM(E1018:E1023)</f>
        <v>75</v>
      </c>
    </row>
    <row r="1026" spans="1:5" x14ac:dyDescent="0.25">
      <c r="A1026" s="279" t="s">
        <v>944</v>
      </c>
      <c r="B1026" s="279"/>
      <c r="C1026" s="279"/>
      <c r="D1026" s="279"/>
      <c r="E1026" s="279"/>
    </row>
    <row r="1027" spans="1:5" x14ac:dyDescent="0.25">
      <c r="A1027" s="72" t="s">
        <v>92</v>
      </c>
      <c r="B1027" s="72" t="s">
        <v>93</v>
      </c>
      <c r="C1027" s="72" t="s">
        <v>227</v>
      </c>
      <c r="D1027" s="72" t="s">
        <v>228</v>
      </c>
      <c r="E1027" s="114" t="s">
        <v>229</v>
      </c>
    </row>
    <row r="1028" spans="1:5" x14ac:dyDescent="0.25">
      <c r="A1028" s="74" t="s">
        <v>945</v>
      </c>
      <c r="B1028" s="75">
        <f>INSUMOS!B197</f>
        <v>1700000</v>
      </c>
      <c r="C1028" s="103">
        <v>1</v>
      </c>
      <c r="D1028" s="75">
        <f t="shared" ref="D1028:D1033" si="15">C1028*B1028</f>
        <v>1700000</v>
      </c>
      <c r="E1028" s="102">
        <f>INSUMOS!E197</f>
        <v>130.52000000000001</v>
      </c>
    </row>
    <row r="1029" spans="1:5" x14ac:dyDescent="0.25">
      <c r="A1029" s="77" t="s">
        <v>946</v>
      </c>
      <c r="B1029" s="78">
        <f>INSUMOS!B237</f>
        <v>650000</v>
      </c>
      <c r="C1029" s="98">
        <v>1</v>
      </c>
      <c r="D1029" s="75">
        <f t="shared" si="15"/>
        <v>650000</v>
      </c>
      <c r="E1029" s="97">
        <f>INSUMOS!E237</f>
        <v>25</v>
      </c>
    </row>
    <row r="1030" spans="1:5" x14ac:dyDescent="0.25">
      <c r="A1030" s="77" t="s">
        <v>947</v>
      </c>
      <c r="B1030" s="78">
        <f>INSUMOS!B421</f>
        <v>700000</v>
      </c>
      <c r="C1030" s="98">
        <v>1</v>
      </c>
      <c r="D1030" s="75">
        <f t="shared" si="15"/>
        <v>700000</v>
      </c>
      <c r="E1030" s="112"/>
    </row>
    <row r="1031" spans="1:5" x14ac:dyDescent="0.25">
      <c r="A1031" s="77" t="s">
        <v>948</v>
      </c>
      <c r="B1031" s="78">
        <f>INSUMOS!B384</f>
        <v>480000</v>
      </c>
      <c r="C1031" s="98">
        <v>1</v>
      </c>
      <c r="D1031" s="75">
        <f t="shared" si="15"/>
        <v>480000</v>
      </c>
      <c r="E1031" s="105"/>
    </row>
    <row r="1032" spans="1:5" x14ac:dyDescent="0.25">
      <c r="A1032" s="77" t="s">
        <v>949</v>
      </c>
      <c r="B1032" s="78">
        <f>INSUMOS!B396</f>
        <v>280000</v>
      </c>
      <c r="C1032" s="98">
        <v>1</v>
      </c>
      <c r="D1032" s="75">
        <f t="shared" si="15"/>
        <v>280000</v>
      </c>
      <c r="E1032" s="105"/>
    </row>
    <row r="1033" spans="1:5" x14ac:dyDescent="0.25">
      <c r="A1033" s="77" t="s">
        <v>950</v>
      </c>
      <c r="B1033" s="78">
        <f>INSUMOS!B333</f>
        <v>180000</v>
      </c>
      <c r="C1033" s="98">
        <v>1</v>
      </c>
      <c r="D1033" s="75">
        <f t="shared" si="15"/>
        <v>180000</v>
      </c>
      <c r="E1033" s="105"/>
    </row>
    <row r="1034" spans="1:5" x14ac:dyDescent="0.25">
      <c r="A1034" s="82"/>
      <c r="B1034" s="83"/>
      <c r="C1034" s="83" t="s">
        <v>122</v>
      </c>
      <c r="D1034" s="83">
        <f>SUM(D1028:D1033)</f>
        <v>3990000</v>
      </c>
      <c r="E1034" s="100">
        <f>SUM(E1028:E1033)</f>
        <v>155.52000000000001</v>
      </c>
    </row>
    <row r="1036" spans="1:5" x14ac:dyDescent="0.25">
      <c r="A1036" s="279" t="s">
        <v>951</v>
      </c>
      <c r="B1036" s="279"/>
      <c r="C1036" s="279"/>
      <c r="D1036" s="279"/>
      <c r="E1036" s="279"/>
    </row>
    <row r="1037" spans="1:5" x14ac:dyDescent="0.25">
      <c r="A1037" s="72" t="s">
        <v>92</v>
      </c>
      <c r="B1037" s="72" t="s">
        <v>93</v>
      </c>
      <c r="C1037" s="72" t="s">
        <v>227</v>
      </c>
      <c r="D1037" s="72" t="s">
        <v>228</v>
      </c>
      <c r="E1037" s="114" t="s">
        <v>229</v>
      </c>
    </row>
    <row r="1038" spans="1:5" x14ac:dyDescent="0.25">
      <c r="A1038" s="74" t="s">
        <v>952</v>
      </c>
      <c r="B1038" s="75">
        <f>INSUMOS!B202</f>
        <v>2210000</v>
      </c>
      <c r="C1038" s="103">
        <v>1</v>
      </c>
      <c r="D1038" s="75">
        <f t="shared" ref="D1038:D1043" si="16">C1038*B1038</f>
        <v>2210000</v>
      </c>
      <c r="E1038" s="102">
        <f>INSUMOS!E202</f>
        <v>130.52000000000001</v>
      </c>
    </row>
    <row r="1039" spans="1:5" x14ac:dyDescent="0.25">
      <c r="A1039" s="77" t="s">
        <v>953</v>
      </c>
      <c r="B1039" s="78">
        <f>INSUMOS!B240</f>
        <v>780000</v>
      </c>
      <c r="C1039" s="98">
        <v>1</v>
      </c>
      <c r="D1039" s="75">
        <f t="shared" si="16"/>
        <v>780000</v>
      </c>
      <c r="E1039" s="97">
        <f>INSUMOS!E240</f>
        <v>25</v>
      </c>
    </row>
    <row r="1040" spans="1:5" x14ac:dyDescent="0.25">
      <c r="A1040" s="77" t="s">
        <v>947</v>
      </c>
      <c r="B1040" s="78">
        <f>INSUMOS!B421</f>
        <v>700000</v>
      </c>
      <c r="C1040" s="98">
        <v>1</v>
      </c>
      <c r="D1040" s="75">
        <f t="shared" si="16"/>
        <v>700000</v>
      </c>
      <c r="E1040" s="112"/>
    </row>
    <row r="1041" spans="1:5" x14ac:dyDescent="0.25">
      <c r="A1041" s="77" t="s">
        <v>948</v>
      </c>
      <c r="B1041" s="78">
        <f>INSUMOS!B384</f>
        <v>480000</v>
      </c>
      <c r="C1041" s="98">
        <v>1</v>
      </c>
      <c r="D1041" s="75">
        <f t="shared" si="16"/>
        <v>480000</v>
      </c>
      <c r="E1041" s="105"/>
    </row>
    <row r="1042" spans="1:5" x14ac:dyDescent="0.25">
      <c r="A1042" s="77" t="s">
        <v>949</v>
      </c>
      <c r="B1042" s="78">
        <f>INSUMOS!B396</f>
        <v>280000</v>
      </c>
      <c r="C1042" s="98">
        <v>1</v>
      </c>
      <c r="D1042" s="75">
        <f t="shared" si="16"/>
        <v>280000</v>
      </c>
      <c r="E1042" s="105"/>
    </row>
    <row r="1043" spans="1:5" x14ac:dyDescent="0.25">
      <c r="A1043" s="77" t="s">
        <v>950</v>
      </c>
      <c r="B1043" s="78">
        <f>INSUMOS!B333</f>
        <v>180000</v>
      </c>
      <c r="C1043" s="98">
        <v>1</v>
      </c>
      <c r="D1043" s="75">
        <f t="shared" si="16"/>
        <v>180000</v>
      </c>
      <c r="E1043" s="105"/>
    </row>
    <row r="1044" spans="1:5" x14ac:dyDescent="0.25">
      <c r="A1044" s="82"/>
      <c r="B1044" s="83"/>
      <c r="C1044" s="83" t="s">
        <v>122</v>
      </c>
      <c r="D1044" s="83">
        <f>SUM(D1038:D1043)</f>
        <v>4630000</v>
      </c>
      <c r="E1044" s="100">
        <f>SUM(E1038:E1043)</f>
        <v>155.52000000000001</v>
      </c>
    </row>
    <row r="1046" spans="1:5" x14ac:dyDescent="0.25">
      <c r="A1046" s="279" t="s">
        <v>954</v>
      </c>
      <c r="B1046" s="279"/>
      <c r="C1046" s="279"/>
      <c r="D1046" s="279"/>
      <c r="E1046" s="279"/>
    </row>
    <row r="1047" spans="1:5" x14ac:dyDescent="0.25">
      <c r="A1047" s="72" t="s">
        <v>92</v>
      </c>
      <c r="B1047" s="72" t="s">
        <v>93</v>
      </c>
      <c r="C1047" s="72" t="s">
        <v>227</v>
      </c>
      <c r="D1047" s="72" t="s">
        <v>228</v>
      </c>
      <c r="E1047" s="114" t="s">
        <v>229</v>
      </c>
    </row>
    <row r="1048" spans="1:5" x14ac:dyDescent="0.25">
      <c r="A1048" s="74" t="s">
        <v>875</v>
      </c>
      <c r="B1048" s="75">
        <f>INSUMOS!B180</f>
        <v>1250000</v>
      </c>
      <c r="C1048" s="103">
        <v>1</v>
      </c>
      <c r="D1048" s="75">
        <f t="shared" ref="D1048:D1053" si="17">C1048*B1048</f>
        <v>1250000</v>
      </c>
      <c r="E1048" s="102">
        <f>INSUMOS!E180</f>
        <v>62</v>
      </c>
    </row>
    <row r="1049" spans="1:5" x14ac:dyDescent="0.25">
      <c r="A1049" s="77" t="s">
        <v>955</v>
      </c>
      <c r="B1049" s="78">
        <f>INSUMOS!B225</f>
        <v>350000</v>
      </c>
      <c r="C1049" s="98">
        <v>1</v>
      </c>
      <c r="D1049" s="75">
        <f t="shared" si="17"/>
        <v>350000</v>
      </c>
      <c r="E1049" s="97">
        <f>INSUMOS!E225</f>
        <v>12</v>
      </c>
    </row>
    <row r="1050" spans="1:5" x14ac:dyDescent="0.25">
      <c r="A1050" s="77" t="s">
        <v>870</v>
      </c>
      <c r="B1050" s="78">
        <f>INSUMOS!B390</f>
        <v>220000</v>
      </c>
      <c r="C1050" s="98">
        <v>1</v>
      </c>
      <c r="D1050" s="75">
        <f t="shared" si="17"/>
        <v>220000</v>
      </c>
      <c r="E1050" s="97"/>
    </row>
    <row r="1051" spans="1:5" x14ac:dyDescent="0.25">
      <c r="A1051" s="77" t="s">
        <v>871</v>
      </c>
      <c r="B1051" s="78">
        <f>INSUMOS!B370</f>
        <v>760000</v>
      </c>
      <c r="C1051" s="98">
        <v>1</v>
      </c>
      <c r="D1051" s="75">
        <f t="shared" si="17"/>
        <v>760000</v>
      </c>
      <c r="E1051" s="105" t="s">
        <v>232</v>
      </c>
    </row>
    <row r="1052" spans="1:5" x14ac:dyDescent="0.25">
      <c r="A1052" s="77" t="s">
        <v>872</v>
      </c>
      <c r="B1052" s="78">
        <f>INSUMOS!B390</f>
        <v>220000</v>
      </c>
      <c r="C1052" s="98">
        <v>1</v>
      </c>
      <c r="D1052" s="75">
        <f t="shared" si="17"/>
        <v>220000</v>
      </c>
      <c r="E1052" s="105"/>
    </row>
    <row r="1053" spans="1:5" x14ac:dyDescent="0.25">
      <c r="A1053" s="77" t="s">
        <v>873</v>
      </c>
      <c r="B1053" s="78">
        <f>INSUMOS!B344</f>
        <v>250000</v>
      </c>
      <c r="C1053" s="98">
        <v>1</v>
      </c>
      <c r="D1053" s="75">
        <f t="shared" si="17"/>
        <v>250000</v>
      </c>
      <c r="E1053" s="105"/>
    </row>
    <row r="1054" spans="1:5" x14ac:dyDescent="0.25">
      <c r="A1054" s="82"/>
      <c r="B1054" s="83"/>
      <c r="C1054" s="83" t="s">
        <v>122</v>
      </c>
      <c r="D1054" s="83">
        <f>SUM(D1048:D1053)</f>
        <v>3050000</v>
      </c>
      <c r="E1054" s="100">
        <f>SUM(E1048:E1053)</f>
        <v>74</v>
      </c>
    </row>
    <row r="1056" spans="1:5" x14ac:dyDescent="0.25">
      <c r="A1056" s="279" t="s">
        <v>956</v>
      </c>
      <c r="B1056" s="279"/>
      <c r="C1056" s="279"/>
      <c r="D1056" s="279"/>
      <c r="E1056" s="279"/>
    </row>
    <row r="1057" spans="1:5" x14ac:dyDescent="0.25">
      <c r="A1057" s="72" t="s">
        <v>92</v>
      </c>
      <c r="B1057" s="72" t="s">
        <v>93</v>
      </c>
      <c r="C1057" s="72" t="s">
        <v>227</v>
      </c>
      <c r="D1057" s="72" t="s">
        <v>228</v>
      </c>
      <c r="E1057" s="114" t="s">
        <v>229</v>
      </c>
    </row>
    <row r="1058" spans="1:5" x14ac:dyDescent="0.25">
      <c r="A1058" s="74" t="s">
        <v>957</v>
      </c>
      <c r="B1058" s="75">
        <f>INSUMOS!B181</f>
        <v>1500000</v>
      </c>
      <c r="C1058" s="103">
        <v>1</v>
      </c>
      <c r="D1058" s="75">
        <f t="shared" ref="D1058:D1063" si="18">C1058*B1058</f>
        <v>1500000</v>
      </c>
      <c r="E1058" s="102">
        <f>INSUMOS!E181</f>
        <v>74.400000000000006</v>
      </c>
    </row>
    <row r="1059" spans="1:5" x14ac:dyDescent="0.25">
      <c r="A1059" s="77" t="s">
        <v>955</v>
      </c>
      <c r="B1059" s="78">
        <f>INSUMOS!B225</f>
        <v>350000</v>
      </c>
      <c r="C1059" s="98">
        <v>1</v>
      </c>
      <c r="D1059" s="75">
        <f t="shared" si="18"/>
        <v>350000</v>
      </c>
      <c r="E1059" s="97">
        <f>INSUMOS!E225</f>
        <v>12</v>
      </c>
    </row>
    <row r="1060" spans="1:5" x14ac:dyDescent="0.25">
      <c r="A1060" s="77" t="s">
        <v>958</v>
      </c>
      <c r="B1060" s="78">
        <f>INSUMOS!B410</f>
        <v>210000</v>
      </c>
      <c r="C1060" s="98">
        <v>1</v>
      </c>
      <c r="D1060" s="75">
        <f t="shared" si="18"/>
        <v>210000</v>
      </c>
      <c r="E1060" s="97"/>
    </row>
    <row r="1061" spans="1:5" x14ac:dyDescent="0.25">
      <c r="A1061" s="77" t="s">
        <v>959</v>
      </c>
      <c r="B1061" s="78">
        <f>INSUMOS!B371</f>
        <v>880000</v>
      </c>
      <c r="C1061" s="98">
        <v>1</v>
      </c>
      <c r="D1061" s="75">
        <f t="shared" si="18"/>
        <v>880000</v>
      </c>
      <c r="E1061" s="105" t="s">
        <v>232</v>
      </c>
    </row>
    <row r="1062" spans="1:5" x14ac:dyDescent="0.25">
      <c r="A1062" s="77" t="s">
        <v>960</v>
      </c>
      <c r="B1062" s="78">
        <f>INSUMOS!B391</f>
        <v>260000</v>
      </c>
      <c r="C1062" s="98">
        <v>1</v>
      </c>
      <c r="D1062" s="75">
        <f t="shared" si="18"/>
        <v>260000</v>
      </c>
      <c r="E1062" s="105"/>
    </row>
    <row r="1063" spans="1:5" x14ac:dyDescent="0.25">
      <c r="A1063" s="77" t="s">
        <v>961</v>
      </c>
      <c r="B1063" s="78">
        <f>INSUMOS!B345</f>
        <v>300000</v>
      </c>
      <c r="C1063" s="98">
        <v>1</v>
      </c>
      <c r="D1063" s="75">
        <f t="shared" si="18"/>
        <v>300000</v>
      </c>
      <c r="E1063" s="105"/>
    </row>
    <row r="1064" spans="1:5" x14ac:dyDescent="0.25">
      <c r="A1064" s="82"/>
      <c r="B1064" s="83"/>
      <c r="C1064" s="83" t="s">
        <v>122</v>
      </c>
      <c r="D1064" s="83">
        <f>SUM(D1058:D1063)</f>
        <v>3500000</v>
      </c>
      <c r="E1064" s="100">
        <f>SUM(E1058:E1063)</f>
        <v>86.4</v>
      </c>
    </row>
    <row r="1066" spans="1:5" x14ac:dyDescent="0.25">
      <c r="A1066" s="279" t="s">
        <v>962</v>
      </c>
      <c r="B1066" s="279"/>
      <c r="C1066" s="279"/>
      <c r="D1066" s="279"/>
      <c r="E1066" s="279"/>
    </row>
    <row r="1067" spans="1:5" x14ac:dyDescent="0.25">
      <c r="A1067" s="72" t="s">
        <v>92</v>
      </c>
      <c r="B1067" s="72" t="s">
        <v>93</v>
      </c>
      <c r="C1067" s="72" t="s">
        <v>227</v>
      </c>
      <c r="D1067" s="72" t="s">
        <v>228</v>
      </c>
      <c r="E1067" s="114" t="s">
        <v>229</v>
      </c>
    </row>
    <row r="1068" spans="1:5" x14ac:dyDescent="0.25">
      <c r="A1068" s="74" t="s">
        <v>963</v>
      </c>
      <c r="B1068" s="75">
        <f>INSUMOS!B196</f>
        <v>1500000</v>
      </c>
      <c r="C1068" s="103">
        <v>1</v>
      </c>
      <c r="D1068" s="75">
        <f t="shared" ref="D1068:D1073" si="19">C1068*B1068</f>
        <v>1500000</v>
      </c>
      <c r="E1068" s="102">
        <f>INSUMOS!E196</f>
        <v>115</v>
      </c>
    </row>
    <row r="1069" spans="1:5" x14ac:dyDescent="0.25">
      <c r="A1069" s="77" t="s">
        <v>939</v>
      </c>
      <c r="B1069" s="78">
        <f>INSUMOS!B236</f>
        <v>450000</v>
      </c>
      <c r="C1069" s="98">
        <v>1</v>
      </c>
      <c r="D1069" s="75">
        <f t="shared" si="19"/>
        <v>450000</v>
      </c>
      <c r="E1069" s="97">
        <f>INSUMOS!E236</f>
        <v>13</v>
      </c>
    </row>
    <row r="1070" spans="1:5" x14ac:dyDescent="0.25">
      <c r="A1070" s="77" t="s">
        <v>964</v>
      </c>
      <c r="B1070" s="78">
        <f>INSUMOS!B420</f>
        <v>650000</v>
      </c>
      <c r="C1070" s="98">
        <v>1</v>
      </c>
      <c r="D1070" s="75">
        <f t="shared" si="19"/>
        <v>650000</v>
      </c>
      <c r="E1070" s="112"/>
    </row>
    <row r="1071" spans="1:5" x14ac:dyDescent="0.25">
      <c r="A1071" s="77" t="s">
        <v>965</v>
      </c>
      <c r="B1071" s="78">
        <f>INSUMOS!B383</f>
        <v>400000</v>
      </c>
      <c r="C1071" s="98">
        <v>1</v>
      </c>
      <c r="D1071" s="75">
        <f t="shared" si="19"/>
        <v>400000</v>
      </c>
      <c r="E1071" s="105"/>
    </row>
    <row r="1072" spans="1:5" x14ac:dyDescent="0.25">
      <c r="A1072" s="77" t="s">
        <v>940</v>
      </c>
      <c r="B1072" s="78">
        <f>INSUMOS!B395</f>
        <v>170000</v>
      </c>
      <c r="C1072" s="98">
        <v>1</v>
      </c>
      <c r="D1072" s="75">
        <f t="shared" si="19"/>
        <v>170000</v>
      </c>
      <c r="E1072" s="105"/>
    </row>
    <row r="1073" spans="1:5" x14ac:dyDescent="0.25">
      <c r="A1073" s="77" t="s">
        <v>966</v>
      </c>
      <c r="B1073" s="78">
        <f>INSUMOS!B383</f>
        <v>400000</v>
      </c>
      <c r="C1073" s="98">
        <v>1</v>
      </c>
      <c r="D1073" s="75">
        <f t="shared" si="19"/>
        <v>400000</v>
      </c>
      <c r="E1073" s="105"/>
    </row>
    <row r="1074" spans="1:5" x14ac:dyDescent="0.25">
      <c r="A1074" s="82"/>
      <c r="B1074" s="83"/>
      <c r="C1074" s="83" t="s">
        <v>122</v>
      </c>
      <c r="D1074" s="83">
        <f>SUM(D1068:D1073)</f>
        <v>3570000</v>
      </c>
      <c r="E1074" s="100">
        <f>SUM(E1068:E1073)</f>
        <v>128</v>
      </c>
    </row>
    <row r="1076" spans="1:5" x14ac:dyDescent="0.25">
      <c r="A1076" s="279" t="s">
        <v>967</v>
      </c>
      <c r="B1076" s="279"/>
      <c r="C1076" s="279"/>
      <c r="D1076" s="279"/>
      <c r="E1076" s="279"/>
    </row>
    <row r="1077" spans="1:5" x14ac:dyDescent="0.25">
      <c r="A1077" s="72" t="s">
        <v>92</v>
      </c>
      <c r="B1077" s="72" t="s">
        <v>93</v>
      </c>
      <c r="C1077" s="72" t="s">
        <v>227</v>
      </c>
      <c r="D1077" s="72" t="s">
        <v>228</v>
      </c>
      <c r="E1077" s="114" t="s">
        <v>229</v>
      </c>
    </row>
    <row r="1078" spans="1:5" x14ac:dyDescent="0.25">
      <c r="A1078" s="74" t="s">
        <v>875</v>
      </c>
      <c r="B1078" s="75">
        <f>INSUMOS!B180</f>
        <v>1250000</v>
      </c>
      <c r="C1078" s="103">
        <v>1</v>
      </c>
      <c r="D1078" s="75">
        <f t="shared" ref="D1078:D1083" si="20">C1078*B1078</f>
        <v>1250000</v>
      </c>
      <c r="E1078" s="102">
        <f>INSUMOS!E180</f>
        <v>62</v>
      </c>
    </row>
    <row r="1079" spans="1:5" x14ac:dyDescent="0.25">
      <c r="A1079" s="77" t="s">
        <v>968</v>
      </c>
      <c r="B1079" s="78">
        <f>INSUMOS!B224</f>
        <v>280000</v>
      </c>
      <c r="C1079" s="98">
        <v>1</v>
      </c>
      <c r="D1079" s="75">
        <f t="shared" si="20"/>
        <v>280000</v>
      </c>
      <c r="E1079" s="97">
        <f>INSUMOS!E224</f>
        <v>10</v>
      </c>
    </row>
    <row r="1080" spans="1:5" x14ac:dyDescent="0.25">
      <c r="A1080" s="77" t="s">
        <v>870</v>
      </c>
      <c r="B1080" s="78">
        <f>INSUMOS!B409</f>
        <v>210000</v>
      </c>
      <c r="C1080" s="98">
        <v>1</v>
      </c>
      <c r="D1080" s="75">
        <f t="shared" si="20"/>
        <v>210000</v>
      </c>
      <c r="E1080" s="97"/>
    </row>
    <row r="1081" spans="1:5" x14ac:dyDescent="0.25">
      <c r="A1081" s="77" t="s">
        <v>871</v>
      </c>
      <c r="B1081" s="78">
        <f>INSUMOS!B370</f>
        <v>760000</v>
      </c>
      <c r="C1081" s="98">
        <v>1</v>
      </c>
      <c r="D1081" s="75">
        <f t="shared" si="20"/>
        <v>760000</v>
      </c>
      <c r="E1081" s="105" t="s">
        <v>232</v>
      </c>
    </row>
    <row r="1082" spans="1:5" x14ac:dyDescent="0.25">
      <c r="A1082" s="77" t="s">
        <v>872</v>
      </c>
      <c r="B1082" s="78">
        <f>INSUMOS!B390</f>
        <v>220000</v>
      </c>
      <c r="C1082" s="98">
        <v>1</v>
      </c>
      <c r="D1082" s="75">
        <f t="shared" si="20"/>
        <v>220000</v>
      </c>
      <c r="E1082" s="105"/>
    </row>
    <row r="1083" spans="1:5" x14ac:dyDescent="0.25">
      <c r="A1083" s="77" t="s">
        <v>873</v>
      </c>
      <c r="B1083" s="78">
        <f>INSUMOS!B344</f>
        <v>250000</v>
      </c>
      <c r="C1083" s="98">
        <v>1</v>
      </c>
      <c r="D1083" s="75">
        <f t="shared" si="20"/>
        <v>250000</v>
      </c>
      <c r="E1083" s="105"/>
    </row>
    <row r="1084" spans="1:5" x14ac:dyDescent="0.25">
      <c r="A1084" s="82"/>
      <c r="B1084" s="83"/>
      <c r="C1084" s="83" t="s">
        <v>122</v>
      </c>
      <c r="D1084" s="83">
        <f>SUM(D1078:D1083)</f>
        <v>2970000</v>
      </c>
      <c r="E1084" s="100">
        <f>SUM(E1078:E1083)</f>
        <v>72</v>
      </c>
    </row>
    <row r="1086" spans="1:5" x14ac:dyDescent="0.25">
      <c r="A1086" s="279" t="s">
        <v>969</v>
      </c>
      <c r="B1086" s="279"/>
      <c r="C1086" s="279"/>
      <c r="D1086" s="279"/>
      <c r="E1086" s="279"/>
    </row>
    <row r="1087" spans="1:5" x14ac:dyDescent="0.25">
      <c r="A1087" s="72" t="s">
        <v>92</v>
      </c>
      <c r="B1087" s="72" t="s">
        <v>226</v>
      </c>
      <c r="C1087" s="72" t="s">
        <v>227</v>
      </c>
      <c r="D1087" s="72" t="s">
        <v>228</v>
      </c>
      <c r="E1087" s="73" t="s">
        <v>229</v>
      </c>
    </row>
    <row r="1088" spans="1:5" x14ac:dyDescent="0.25">
      <c r="A1088" s="74" t="s">
        <v>970</v>
      </c>
      <c r="B1088" s="75">
        <f>INSUMOS!B204</f>
        <v>130000</v>
      </c>
      <c r="C1088" s="103">
        <v>1</v>
      </c>
      <c r="D1088" s="75">
        <f>C1088*B1088</f>
        <v>130000</v>
      </c>
      <c r="E1088" s="102">
        <f>INSUMOS!E204</f>
        <v>4.3</v>
      </c>
    </row>
    <row r="1089" spans="1:5" x14ac:dyDescent="0.25">
      <c r="A1089" s="77" t="s">
        <v>671</v>
      </c>
      <c r="B1089" s="78">
        <f>INSUMOS!B16</f>
        <v>240000</v>
      </c>
      <c r="C1089" s="98">
        <v>0.15</v>
      </c>
      <c r="D1089" s="75">
        <f>C1089*B1089</f>
        <v>36000</v>
      </c>
      <c r="E1089" s="97">
        <f>C1089*INSUMOS!E16</f>
        <v>2.3865922265492139</v>
      </c>
    </row>
    <row r="1090" spans="1:5" x14ac:dyDescent="0.25">
      <c r="A1090" s="77" t="s">
        <v>659</v>
      </c>
      <c r="B1090" s="78">
        <f>INSUMOS!B297</f>
        <v>200000</v>
      </c>
      <c r="C1090" s="98">
        <v>1</v>
      </c>
      <c r="D1090" s="75">
        <f>C1090*B1090</f>
        <v>200000</v>
      </c>
      <c r="E1090" s="112"/>
    </row>
    <row r="1091" spans="1:5" x14ac:dyDescent="0.25">
      <c r="A1091" s="77" t="s">
        <v>777</v>
      </c>
      <c r="B1091" s="78">
        <f>INSUMOS!B422</f>
        <v>240000</v>
      </c>
      <c r="C1091" s="98">
        <v>1</v>
      </c>
      <c r="D1091" s="75">
        <f>C1091*B1091</f>
        <v>240000</v>
      </c>
      <c r="E1091" s="105"/>
    </row>
    <row r="1092" spans="1:5" x14ac:dyDescent="0.25">
      <c r="A1092" s="77" t="s">
        <v>778</v>
      </c>
      <c r="B1092" s="78">
        <f>INSUMOS!B334</f>
        <v>45000</v>
      </c>
      <c r="C1092" s="98">
        <v>1</v>
      </c>
      <c r="D1092" s="75">
        <f>C1092*B1092</f>
        <v>45000</v>
      </c>
      <c r="E1092" s="105"/>
    </row>
    <row r="1093" spans="1:5" x14ac:dyDescent="0.25">
      <c r="A1093" s="82"/>
      <c r="B1093" s="83"/>
      <c r="C1093" s="83" t="s">
        <v>122</v>
      </c>
      <c r="D1093" s="83">
        <f>SUM(D1088:D1092)</f>
        <v>651000</v>
      </c>
      <c r="E1093" s="100">
        <f>SUM(E1088:E1092)</f>
        <v>6.6865922265492141</v>
      </c>
    </row>
    <row r="1095" spans="1:5" x14ac:dyDescent="0.25">
      <c r="A1095" s="279" t="s">
        <v>971</v>
      </c>
      <c r="B1095" s="279"/>
      <c r="C1095" s="279"/>
      <c r="D1095" s="279"/>
      <c r="E1095" s="279"/>
    </row>
    <row r="1096" spans="1:5" x14ac:dyDescent="0.25">
      <c r="A1096" s="72" t="s">
        <v>92</v>
      </c>
      <c r="B1096" s="72" t="s">
        <v>93</v>
      </c>
      <c r="C1096" s="72" t="s">
        <v>227</v>
      </c>
      <c r="D1096" s="72" t="s">
        <v>228</v>
      </c>
      <c r="E1096" s="114" t="s">
        <v>229</v>
      </c>
    </row>
    <row r="1097" spans="1:5" x14ac:dyDescent="0.25">
      <c r="A1097" s="74" t="s">
        <v>957</v>
      </c>
      <c r="B1097" s="75">
        <f>INSUMOS!B181</f>
        <v>1500000</v>
      </c>
      <c r="C1097" s="103">
        <v>1</v>
      </c>
      <c r="D1097" s="75">
        <f t="shared" ref="D1097:D1102" si="21">C1097*B1097</f>
        <v>1500000</v>
      </c>
      <c r="E1097" s="102">
        <f>INSUMOS!E181</f>
        <v>74.400000000000006</v>
      </c>
    </row>
    <row r="1098" spans="1:5" x14ac:dyDescent="0.25">
      <c r="A1098" s="77" t="s">
        <v>968</v>
      </c>
      <c r="B1098" s="78">
        <f>INSUMOS!B224</f>
        <v>280000</v>
      </c>
      <c r="C1098" s="98">
        <v>1</v>
      </c>
      <c r="D1098" s="75">
        <f t="shared" si="21"/>
        <v>280000</v>
      </c>
      <c r="E1098" s="97">
        <f>INSUMOS!E224</f>
        <v>10</v>
      </c>
    </row>
    <row r="1099" spans="1:5" x14ac:dyDescent="0.25">
      <c r="A1099" s="77" t="s">
        <v>958</v>
      </c>
      <c r="B1099" s="78">
        <f>INSUMOS!B410</f>
        <v>210000</v>
      </c>
      <c r="C1099" s="98">
        <v>1</v>
      </c>
      <c r="D1099" s="75">
        <f t="shared" si="21"/>
        <v>210000</v>
      </c>
      <c r="E1099" s="97"/>
    </row>
    <row r="1100" spans="1:5" x14ac:dyDescent="0.25">
      <c r="A1100" s="77" t="s">
        <v>959</v>
      </c>
      <c r="B1100" s="78">
        <f>INSUMOS!B371</f>
        <v>880000</v>
      </c>
      <c r="C1100" s="98">
        <v>1</v>
      </c>
      <c r="D1100" s="75">
        <f t="shared" si="21"/>
        <v>880000</v>
      </c>
      <c r="E1100" s="105" t="s">
        <v>232</v>
      </c>
    </row>
    <row r="1101" spans="1:5" x14ac:dyDescent="0.25">
      <c r="A1101" s="77" t="s">
        <v>960</v>
      </c>
      <c r="B1101" s="78">
        <f>INSUMOS!B391</f>
        <v>260000</v>
      </c>
      <c r="C1101" s="98">
        <v>1</v>
      </c>
      <c r="D1101" s="75">
        <f t="shared" si="21"/>
        <v>260000</v>
      </c>
      <c r="E1101" s="105"/>
    </row>
    <row r="1102" spans="1:5" x14ac:dyDescent="0.25">
      <c r="A1102" s="77" t="s">
        <v>961</v>
      </c>
      <c r="B1102" s="78">
        <f>INSUMOS!B345</f>
        <v>300000</v>
      </c>
      <c r="C1102" s="98">
        <v>1</v>
      </c>
      <c r="D1102" s="75">
        <f t="shared" si="21"/>
        <v>300000</v>
      </c>
      <c r="E1102" s="105"/>
    </row>
    <row r="1103" spans="1:5" x14ac:dyDescent="0.25">
      <c r="A1103" s="82"/>
      <c r="B1103" s="83"/>
      <c r="C1103" s="83" t="s">
        <v>122</v>
      </c>
      <c r="D1103" s="83">
        <f>SUM(D1097:D1102)</f>
        <v>3430000</v>
      </c>
      <c r="E1103" s="100">
        <f>SUM(E1097:E1102)</f>
        <v>84.4</v>
      </c>
    </row>
    <row r="1105" spans="1:5" x14ac:dyDescent="0.25">
      <c r="A1105" s="279" t="s">
        <v>972</v>
      </c>
      <c r="B1105" s="279"/>
      <c r="C1105" s="279"/>
      <c r="D1105" s="279"/>
      <c r="E1105" s="279"/>
    </row>
    <row r="1106" spans="1:5" x14ac:dyDescent="0.25">
      <c r="A1106" s="72" t="s">
        <v>92</v>
      </c>
      <c r="B1106" s="72" t="s">
        <v>226</v>
      </c>
      <c r="C1106" s="72" t="s">
        <v>227</v>
      </c>
      <c r="D1106" s="72" t="s">
        <v>228</v>
      </c>
      <c r="E1106" s="73" t="s">
        <v>229</v>
      </c>
    </row>
    <row r="1107" spans="1:5" x14ac:dyDescent="0.25">
      <c r="A1107" s="74" t="s">
        <v>724</v>
      </c>
      <c r="B1107" s="75">
        <f>INSUMOS!B151</f>
        <v>205000</v>
      </c>
      <c r="C1107" s="103">
        <v>1</v>
      </c>
      <c r="D1107" s="75">
        <f>C1107*B1107</f>
        <v>205000</v>
      </c>
      <c r="E1107" s="102">
        <f>INSUMOS!E151</f>
        <v>9.8000000000000007</v>
      </c>
    </row>
    <row r="1108" spans="1:5" x14ac:dyDescent="0.25">
      <c r="A1108" s="77" t="s">
        <v>696</v>
      </c>
      <c r="B1108" s="78">
        <f>INSUMOS!B7</f>
        <v>461000</v>
      </c>
      <c r="C1108" s="98">
        <v>0.2</v>
      </c>
      <c r="D1108" s="75">
        <f>C1108*B1108</f>
        <v>92200</v>
      </c>
      <c r="E1108" s="97">
        <f>C1108*INSUMOS!E7</f>
        <v>7.1597766796476421</v>
      </c>
    </row>
    <row r="1109" spans="1:5" x14ac:dyDescent="0.25">
      <c r="A1109" s="77" t="s">
        <v>697</v>
      </c>
      <c r="B1109" s="78">
        <f>INSUMOS!B298</f>
        <v>250000</v>
      </c>
      <c r="C1109" s="98">
        <v>1</v>
      </c>
      <c r="D1109" s="75">
        <f>C1109*B1109</f>
        <v>250000</v>
      </c>
      <c r="E1109" s="105" t="s">
        <v>232</v>
      </c>
    </row>
    <row r="1110" spans="1:5" x14ac:dyDescent="0.25">
      <c r="A1110" s="77" t="s">
        <v>726</v>
      </c>
      <c r="B1110" s="78">
        <f>INSUMOS!B352</f>
        <v>230000</v>
      </c>
      <c r="C1110" s="98">
        <v>1</v>
      </c>
      <c r="D1110" s="75">
        <f>C1110*B1110</f>
        <v>230000</v>
      </c>
      <c r="E1110" s="105"/>
    </row>
    <row r="1111" spans="1:5" x14ac:dyDescent="0.25">
      <c r="A1111" s="77" t="s">
        <v>727</v>
      </c>
      <c r="B1111" s="78">
        <f>INSUMOS!B315</f>
        <v>70000</v>
      </c>
      <c r="C1111" s="98">
        <v>1</v>
      </c>
      <c r="D1111" s="75">
        <f>C1111*B1111</f>
        <v>70000</v>
      </c>
      <c r="E1111" s="105"/>
    </row>
    <row r="1112" spans="1:5" x14ac:dyDescent="0.25">
      <c r="A1112" s="82"/>
      <c r="B1112" s="83"/>
      <c r="C1112" s="83" t="s">
        <v>122</v>
      </c>
      <c r="D1112" s="83">
        <f>SUM(D1107:D1111)</f>
        <v>847200</v>
      </c>
      <c r="E1112" s="100">
        <f>SUM(E1107:E1111)</f>
        <v>16.959776679647643</v>
      </c>
    </row>
    <row r="1114" spans="1:5" x14ac:dyDescent="0.25">
      <c r="A1114" s="279" t="s">
        <v>973</v>
      </c>
      <c r="B1114" s="279"/>
      <c r="C1114" s="279"/>
      <c r="D1114" s="279"/>
      <c r="E1114" s="279"/>
    </row>
    <row r="1115" spans="1:5" x14ac:dyDescent="0.25">
      <c r="A1115" s="72" t="s">
        <v>92</v>
      </c>
      <c r="B1115" s="72" t="s">
        <v>226</v>
      </c>
      <c r="C1115" s="72" t="s">
        <v>227</v>
      </c>
      <c r="D1115" s="72" t="s">
        <v>228</v>
      </c>
      <c r="E1115" s="73" t="s">
        <v>229</v>
      </c>
    </row>
    <row r="1116" spans="1:5" x14ac:dyDescent="0.25">
      <c r="A1116" s="74" t="s">
        <v>891</v>
      </c>
      <c r="B1116" s="75">
        <f>INSUMOS!B149</f>
        <v>150000</v>
      </c>
      <c r="C1116" s="103">
        <v>1</v>
      </c>
      <c r="D1116" s="75">
        <f>C1116*B1116</f>
        <v>150000</v>
      </c>
      <c r="E1116" s="102">
        <f>INSUMOS!E149</f>
        <v>4.8</v>
      </c>
    </row>
    <row r="1117" spans="1:5" x14ac:dyDescent="0.25">
      <c r="A1117" s="77" t="s">
        <v>686</v>
      </c>
      <c r="B1117" s="78">
        <f>INSUMOS!B210</f>
        <v>325000</v>
      </c>
      <c r="C1117" s="98">
        <v>1</v>
      </c>
      <c r="D1117" s="75">
        <f>C1117*B1117</f>
        <v>325000</v>
      </c>
      <c r="E1117" s="97">
        <f>INSUMOS!E210</f>
        <v>8</v>
      </c>
    </row>
    <row r="1118" spans="1:5" x14ac:dyDescent="0.25">
      <c r="A1118" s="77" t="s">
        <v>676</v>
      </c>
      <c r="B1118" s="78">
        <f>INSUMOS!B350</f>
        <v>150000</v>
      </c>
      <c r="C1118" s="98">
        <v>1</v>
      </c>
      <c r="D1118" s="75">
        <f>C1118*B1118</f>
        <v>150000</v>
      </c>
      <c r="E1118" s="105" t="s">
        <v>232</v>
      </c>
    </row>
    <row r="1119" spans="1:5" x14ac:dyDescent="0.25">
      <c r="A1119" s="77" t="s">
        <v>819</v>
      </c>
      <c r="B1119" s="78">
        <f>INSUMOS!B399</f>
        <v>90000</v>
      </c>
      <c r="C1119" s="98">
        <v>1</v>
      </c>
      <c r="D1119" s="75">
        <f>C1119*B1119</f>
        <v>90000</v>
      </c>
      <c r="E1119" s="105"/>
    </row>
    <row r="1120" spans="1:5" x14ac:dyDescent="0.25">
      <c r="A1120" s="77" t="s">
        <v>974</v>
      </c>
      <c r="B1120" s="78">
        <f>INSUMOS!B313</f>
        <v>50000</v>
      </c>
      <c r="C1120" s="98">
        <v>1</v>
      </c>
      <c r="D1120" s="75">
        <f>C1120*B1120</f>
        <v>50000</v>
      </c>
      <c r="E1120" s="105"/>
    </row>
    <row r="1121" spans="1:5" x14ac:dyDescent="0.25">
      <c r="A1121" s="82"/>
      <c r="B1121" s="83"/>
      <c r="C1121" s="83" t="s">
        <v>122</v>
      </c>
      <c r="D1121" s="83">
        <f>SUM(D1116:D1120)</f>
        <v>765000</v>
      </c>
      <c r="E1121" s="100">
        <f>SUM(E1116:E1120)</f>
        <v>12.8</v>
      </c>
    </row>
    <row r="1123" spans="1:5" x14ac:dyDescent="0.25">
      <c r="A1123" s="279" t="s">
        <v>975</v>
      </c>
      <c r="B1123" s="279"/>
      <c r="C1123" s="279"/>
      <c r="D1123" s="279"/>
      <c r="E1123" s="279"/>
    </row>
    <row r="1124" spans="1:5" x14ac:dyDescent="0.25">
      <c r="A1124" s="72" t="s">
        <v>92</v>
      </c>
      <c r="B1124" s="72" t="s">
        <v>226</v>
      </c>
      <c r="C1124" s="72" t="s">
        <v>227</v>
      </c>
      <c r="D1124" s="72" t="s">
        <v>228</v>
      </c>
      <c r="E1124" s="73" t="s">
        <v>229</v>
      </c>
    </row>
    <row r="1125" spans="1:5" x14ac:dyDescent="0.25">
      <c r="A1125" s="74" t="s">
        <v>724</v>
      </c>
      <c r="B1125" s="75">
        <f>INSUMOS!B151</f>
        <v>205000</v>
      </c>
      <c r="C1125" s="103">
        <v>1</v>
      </c>
      <c r="D1125" s="75">
        <f>C1125*B1125</f>
        <v>205000</v>
      </c>
      <c r="E1125" s="102">
        <f>INSUMOS!E151</f>
        <v>9.8000000000000007</v>
      </c>
    </row>
    <row r="1126" spans="1:5" x14ac:dyDescent="0.25">
      <c r="A1126" s="77" t="s">
        <v>696</v>
      </c>
      <c r="B1126" s="78">
        <f>INSUMOS!B7</f>
        <v>461000</v>
      </c>
      <c r="C1126" s="98">
        <v>0.2</v>
      </c>
      <c r="D1126" s="75">
        <f>C1126*B1126</f>
        <v>92200</v>
      </c>
      <c r="E1126" s="97">
        <f>C1108*INSUMOS!E7</f>
        <v>7.1597766796476421</v>
      </c>
    </row>
    <row r="1127" spans="1:5" x14ac:dyDescent="0.25">
      <c r="A1127" s="77" t="s">
        <v>697</v>
      </c>
      <c r="B1127" s="78">
        <f>INSUMOS!B298</f>
        <v>250000</v>
      </c>
      <c r="C1127" s="98">
        <v>1</v>
      </c>
      <c r="D1127" s="75">
        <f>C1127*B1127</f>
        <v>250000</v>
      </c>
      <c r="E1127" s="105" t="s">
        <v>232</v>
      </c>
    </row>
    <row r="1128" spans="1:5" x14ac:dyDescent="0.25">
      <c r="A1128" s="77" t="s">
        <v>726</v>
      </c>
      <c r="B1128" s="78">
        <f>INSUMOS!B352</f>
        <v>230000</v>
      </c>
      <c r="C1128" s="98">
        <v>1</v>
      </c>
      <c r="D1128" s="75">
        <f>C1128*B1128</f>
        <v>230000</v>
      </c>
      <c r="E1128" s="105"/>
    </row>
    <row r="1129" spans="1:5" x14ac:dyDescent="0.25">
      <c r="A1129" s="77" t="s">
        <v>727</v>
      </c>
      <c r="B1129" s="78">
        <f>INSUMOS!B315</f>
        <v>70000</v>
      </c>
      <c r="C1129" s="98">
        <v>1</v>
      </c>
      <c r="D1129" s="75">
        <f>C1129*B1129</f>
        <v>70000</v>
      </c>
      <c r="E1129" s="105"/>
    </row>
    <row r="1130" spans="1:5" x14ac:dyDescent="0.25">
      <c r="A1130" s="82"/>
      <c r="B1130" s="83"/>
      <c r="C1130" s="83" t="s">
        <v>122</v>
      </c>
      <c r="D1130" s="83">
        <f>SUM(D1125:D1129)</f>
        <v>847200</v>
      </c>
      <c r="E1130" s="100">
        <f>SUM(E1125:E1129)</f>
        <v>16.959776679647643</v>
      </c>
    </row>
    <row r="1132" spans="1:5" x14ac:dyDescent="0.25">
      <c r="A1132" s="279" t="s">
        <v>976</v>
      </c>
      <c r="B1132" s="279"/>
      <c r="C1132" s="279"/>
      <c r="D1132" s="279"/>
      <c r="E1132" s="279"/>
    </row>
    <row r="1133" spans="1:5" x14ac:dyDescent="0.25">
      <c r="A1133" s="72" t="s">
        <v>92</v>
      </c>
      <c r="B1133" s="72" t="s">
        <v>226</v>
      </c>
      <c r="C1133" s="72" t="s">
        <v>227</v>
      </c>
      <c r="D1133" s="72" t="s">
        <v>228</v>
      </c>
      <c r="E1133" s="73" t="s">
        <v>229</v>
      </c>
    </row>
    <row r="1134" spans="1:5" x14ac:dyDescent="0.25">
      <c r="A1134" s="74" t="s">
        <v>661</v>
      </c>
      <c r="B1134" s="75">
        <f>INSUMOS!B132</f>
        <v>170000</v>
      </c>
      <c r="C1134" s="103">
        <v>1</v>
      </c>
      <c r="D1134" s="75">
        <f>C1134*B1134</f>
        <v>170000</v>
      </c>
      <c r="E1134" s="102">
        <f>INSUMOS!E132</f>
        <v>4.08</v>
      </c>
    </row>
    <row r="1135" spans="1:5" x14ac:dyDescent="0.25">
      <c r="A1135" s="77" t="s">
        <v>696</v>
      </c>
      <c r="B1135" s="78">
        <f>INSUMOS!B7</f>
        <v>461000</v>
      </c>
      <c r="C1135" s="98">
        <v>0.15</v>
      </c>
      <c r="D1135" s="75">
        <f>C1135*B1135</f>
        <v>69150</v>
      </c>
      <c r="E1135" s="97">
        <f>C1135*INSUMOS!E7</f>
        <v>5.3698325097357316</v>
      </c>
    </row>
    <row r="1136" spans="1:5" x14ac:dyDescent="0.25">
      <c r="A1136" s="77" t="s">
        <v>697</v>
      </c>
      <c r="B1136" s="78">
        <f>INSUMOS!B298</f>
        <v>250000</v>
      </c>
      <c r="C1136" s="98">
        <v>1</v>
      </c>
      <c r="D1136" s="75">
        <f>C1136*B1136</f>
        <v>250000</v>
      </c>
      <c r="E1136" s="105" t="s">
        <v>232</v>
      </c>
    </row>
    <row r="1137" spans="1:5" x14ac:dyDescent="0.25">
      <c r="A1137" s="77" t="s">
        <v>662</v>
      </c>
      <c r="B1137" s="78">
        <f>INSUMOS!B290</f>
        <v>130000</v>
      </c>
      <c r="C1137" s="98">
        <v>1</v>
      </c>
      <c r="D1137" s="75">
        <f>C1137*B1137</f>
        <v>130000</v>
      </c>
      <c r="E1137" s="105"/>
    </row>
    <row r="1138" spans="1:5" x14ac:dyDescent="0.25">
      <c r="A1138" s="77" t="s">
        <v>663</v>
      </c>
      <c r="B1138" s="78">
        <f>INSUMOS!B304</f>
        <v>60000</v>
      </c>
      <c r="C1138" s="98">
        <v>1</v>
      </c>
      <c r="D1138" s="75">
        <f>C1138*B1138</f>
        <v>60000</v>
      </c>
      <c r="E1138" s="105"/>
    </row>
    <row r="1139" spans="1:5" x14ac:dyDescent="0.25">
      <c r="A1139" s="82"/>
      <c r="B1139" s="83"/>
      <c r="C1139" s="83" t="s">
        <v>122</v>
      </c>
      <c r="D1139" s="83">
        <f>SUM(D1134:D1138)</f>
        <v>679150</v>
      </c>
      <c r="E1139" s="100">
        <f>SUM(E1134:E1138)</f>
        <v>9.4498325097357316</v>
      </c>
    </row>
    <row r="1141" spans="1:5" x14ac:dyDescent="0.25">
      <c r="A1141" s="279" t="s">
        <v>977</v>
      </c>
      <c r="B1141" s="279"/>
      <c r="C1141" s="279"/>
      <c r="D1141" s="279"/>
      <c r="E1141" s="279"/>
    </row>
    <row r="1142" spans="1:5" x14ac:dyDescent="0.25">
      <c r="A1142" s="72" t="s">
        <v>92</v>
      </c>
      <c r="B1142" s="72" t="s">
        <v>93</v>
      </c>
      <c r="C1142" s="72" t="s">
        <v>227</v>
      </c>
      <c r="D1142" s="72" t="s">
        <v>228</v>
      </c>
      <c r="E1142" s="114" t="s">
        <v>229</v>
      </c>
    </row>
    <row r="1143" spans="1:5" x14ac:dyDescent="0.25">
      <c r="A1143" s="74" t="s">
        <v>978</v>
      </c>
      <c r="B1143" s="75">
        <f>INSUMOS!B159</f>
        <v>2560000</v>
      </c>
      <c r="C1143" s="103">
        <v>1</v>
      </c>
      <c r="D1143" s="75">
        <f t="shared" ref="D1143:D1148" si="22">C1143*B1143</f>
        <v>2560000</v>
      </c>
      <c r="E1143" s="102">
        <f>INSUMOS!E159</f>
        <v>235</v>
      </c>
    </row>
    <row r="1144" spans="1:5" x14ac:dyDescent="0.25">
      <c r="A1144" s="77" t="s">
        <v>979</v>
      </c>
      <c r="B1144" s="78">
        <f>INSUMOS!B213</f>
        <v>650000</v>
      </c>
      <c r="C1144" s="98">
        <v>1</v>
      </c>
      <c r="D1144" s="75">
        <f t="shared" si="22"/>
        <v>650000</v>
      </c>
      <c r="E1144" s="97">
        <f>INSUMOS!E213</f>
        <v>16</v>
      </c>
    </row>
    <row r="1145" spans="1:5" x14ac:dyDescent="0.25">
      <c r="A1145" s="77" t="s">
        <v>788</v>
      </c>
      <c r="B1145" s="78">
        <f>INSUMOS!B401</f>
        <v>135000</v>
      </c>
      <c r="C1145" s="98">
        <v>1</v>
      </c>
      <c r="D1145" s="75">
        <f t="shared" si="22"/>
        <v>135000</v>
      </c>
      <c r="E1145" s="97"/>
    </row>
    <row r="1146" spans="1:5" x14ac:dyDescent="0.25">
      <c r="A1146" s="77" t="s">
        <v>980</v>
      </c>
      <c r="B1146" s="78">
        <f>INSUMOS!B360</f>
        <v>980000</v>
      </c>
      <c r="C1146" s="98">
        <v>1</v>
      </c>
      <c r="D1146" s="75">
        <f t="shared" si="22"/>
        <v>980000</v>
      </c>
      <c r="E1146" s="105" t="s">
        <v>232</v>
      </c>
    </row>
    <row r="1147" spans="1:5" x14ac:dyDescent="0.25">
      <c r="A1147" s="77" t="s">
        <v>981</v>
      </c>
      <c r="B1147" s="78">
        <f>INSUMOS!B379</f>
        <v>560000</v>
      </c>
      <c r="C1147" s="98">
        <v>1</v>
      </c>
      <c r="D1147" s="75">
        <f t="shared" si="22"/>
        <v>560000</v>
      </c>
      <c r="E1147" s="105"/>
    </row>
    <row r="1148" spans="1:5" x14ac:dyDescent="0.25">
      <c r="A1148" s="77" t="s">
        <v>982</v>
      </c>
      <c r="B1148" s="78">
        <f>INSUMOS!B323</f>
        <v>300000</v>
      </c>
      <c r="C1148" s="98">
        <v>1</v>
      </c>
      <c r="D1148" s="75">
        <f t="shared" si="22"/>
        <v>300000</v>
      </c>
      <c r="E1148" s="105"/>
    </row>
    <row r="1149" spans="1:5" x14ac:dyDescent="0.25">
      <c r="A1149" s="82"/>
      <c r="B1149" s="83"/>
      <c r="C1149" s="83" t="s">
        <v>122</v>
      </c>
      <c r="D1149" s="83">
        <f>SUM(D1143:D1148)</f>
        <v>5185000</v>
      </c>
      <c r="E1149" s="100">
        <f>SUM(E1143:E1148)</f>
        <v>251</v>
      </c>
    </row>
    <row r="1151" spans="1:5" x14ac:dyDescent="0.25">
      <c r="A1151" s="279" t="s">
        <v>983</v>
      </c>
      <c r="B1151" s="279"/>
      <c r="C1151" s="279"/>
      <c r="D1151" s="279"/>
      <c r="E1151" s="279"/>
    </row>
    <row r="1152" spans="1:5" x14ac:dyDescent="0.25">
      <c r="A1152" s="72" t="s">
        <v>92</v>
      </c>
      <c r="B1152" s="72" t="s">
        <v>93</v>
      </c>
      <c r="C1152" s="72" t="s">
        <v>227</v>
      </c>
      <c r="D1152" s="72" t="s">
        <v>228</v>
      </c>
      <c r="E1152" s="114" t="s">
        <v>229</v>
      </c>
    </row>
    <row r="1153" spans="1:5" x14ac:dyDescent="0.25">
      <c r="A1153" s="74" t="s">
        <v>984</v>
      </c>
      <c r="B1153" s="75">
        <f>INSUMOS!B158</f>
        <v>2200000</v>
      </c>
      <c r="C1153" s="103">
        <v>1</v>
      </c>
      <c r="D1153" s="75">
        <f t="shared" ref="D1153:D1158" si="23">C1153*B1153</f>
        <v>2200000</v>
      </c>
      <c r="E1153" s="102">
        <f>INSUMOS!E158</f>
        <v>124</v>
      </c>
    </row>
    <row r="1154" spans="1:5" x14ac:dyDescent="0.25">
      <c r="A1154" s="77" t="s">
        <v>979</v>
      </c>
      <c r="B1154" s="78">
        <f>INSUMOS!B213</f>
        <v>650000</v>
      </c>
      <c r="C1154" s="98">
        <v>1</v>
      </c>
      <c r="D1154" s="75">
        <f t="shared" si="23"/>
        <v>650000</v>
      </c>
      <c r="E1154" s="97">
        <f>INSUMOS!E213</f>
        <v>16</v>
      </c>
    </row>
    <row r="1155" spans="1:5" x14ac:dyDescent="0.25">
      <c r="A1155" s="77" t="s">
        <v>788</v>
      </c>
      <c r="B1155" s="78">
        <f>INSUMOS!B401</f>
        <v>135000</v>
      </c>
      <c r="C1155" s="98">
        <v>1</v>
      </c>
      <c r="D1155" s="75">
        <f t="shared" si="23"/>
        <v>135000</v>
      </c>
      <c r="E1155" s="97"/>
    </row>
    <row r="1156" spans="1:5" x14ac:dyDescent="0.25">
      <c r="A1156" s="77" t="s">
        <v>985</v>
      </c>
      <c r="B1156" s="78">
        <f>INSUMOS!B359</f>
        <v>750000</v>
      </c>
      <c r="C1156" s="98">
        <v>1</v>
      </c>
      <c r="D1156" s="75">
        <f t="shared" si="23"/>
        <v>750000</v>
      </c>
      <c r="E1156" s="105" t="s">
        <v>232</v>
      </c>
    </row>
    <row r="1157" spans="1:5" x14ac:dyDescent="0.25">
      <c r="A1157" s="77" t="s">
        <v>986</v>
      </c>
      <c r="B1157" s="78">
        <f>INSUMOS!B378</f>
        <v>480000</v>
      </c>
      <c r="C1157" s="98">
        <v>1</v>
      </c>
      <c r="D1157" s="75">
        <f t="shared" si="23"/>
        <v>480000</v>
      </c>
      <c r="E1157" s="105"/>
    </row>
    <row r="1158" spans="1:5" x14ac:dyDescent="0.25">
      <c r="A1158" s="77" t="s">
        <v>987</v>
      </c>
      <c r="B1158" s="78">
        <f>INSUMOS!B322</f>
        <v>250000</v>
      </c>
      <c r="C1158" s="98">
        <v>1</v>
      </c>
      <c r="D1158" s="75">
        <f t="shared" si="23"/>
        <v>250000</v>
      </c>
      <c r="E1158" s="105"/>
    </row>
    <row r="1159" spans="1:5" x14ac:dyDescent="0.25">
      <c r="A1159" s="82"/>
      <c r="B1159" s="83"/>
      <c r="C1159" s="83" t="s">
        <v>122</v>
      </c>
      <c r="D1159" s="83">
        <f>SUM(D1153:D1158)</f>
        <v>4465000</v>
      </c>
      <c r="E1159" s="100">
        <f>SUM(E1153:E1158)</f>
        <v>140</v>
      </c>
    </row>
    <row r="1161" spans="1:5" x14ac:dyDescent="0.25">
      <c r="A1161" s="279" t="s">
        <v>988</v>
      </c>
      <c r="B1161" s="279"/>
      <c r="C1161" s="279"/>
      <c r="D1161" s="279"/>
      <c r="E1161" s="279"/>
    </row>
    <row r="1162" spans="1:5" x14ac:dyDescent="0.25">
      <c r="A1162" s="72" t="s">
        <v>92</v>
      </c>
      <c r="B1162" s="72" t="s">
        <v>93</v>
      </c>
      <c r="C1162" s="72" t="s">
        <v>227</v>
      </c>
      <c r="D1162" s="72" t="s">
        <v>228</v>
      </c>
      <c r="E1162" s="114" t="s">
        <v>229</v>
      </c>
    </row>
    <row r="1163" spans="1:5" x14ac:dyDescent="0.25">
      <c r="A1163" s="74" t="s">
        <v>989</v>
      </c>
      <c r="B1163" s="75">
        <f>INSUMOS!B178</f>
        <v>708333.33333333337</v>
      </c>
      <c r="C1163" s="103">
        <v>1</v>
      </c>
      <c r="D1163" s="75">
        <f t="shared" ref="D1163:D1168" si="24">C1163*B1163</f>
        <v>708333.33333333337</v>
      </c>
      <c r="E1163" s="102">
        <f>INSUMOS!E178</f>
        <v>35</v>
      </c>
    </row>
    <row r="1164" spans="1:5" x14ac:dyDescent="0.25">
      <c r="A1164" s="77" t="s">
        <v>876</v>
      </c>
      <c r="B1164" s="78">
        <f>INSUMOS!B223</f>
        <v>230000</v>
      </c>
      <c r="C1164" s="98">
        <v>1</v>
      </c>
      <c r="D1164" s="75">
        <f t="shared" si="24"/>
        <v>230000</v>
      </c>
      <c r="E1164" s="97">
        <f>INSUMOS!E223</f>
        <v>8</v>
      </c>
    </row>
    <row r="1165" spans="1:5" x14ac:dyDescent="0.25">
      <c r="A1165" s="77" t="s">
        <v>990</v>
      </c>
      <c r="B1165" s="78">
        <f>INSUMOS!B405</f>
        <v>90000</v>
      </c>
      <c r="C1165" s="98">
        <v>1</v>
      </c>
      <c r="D1165" s="75">
        <f t="shared" si="24"/>
        <v>90000</v>
      </c>
      <c r="E1165" s="97"/>
    </row>
    <row r="1166" spans="1:5" x14ac:dyDescent="0.25">
      <c r="A1166" s="77" t="s">
        <v>798</v>
      </c>
      <c r="B1166" s="78">
        <f>INSUMOS!B368</f>
        <v>550000</v>
      </c>
      <c r="C1166" s="98">
        <v>1</v>
      </c>
      <c r="D1166" s="75">
        <f t="shared" si="24"/>
        <v>550000</v>
      </c>
      <c r="E1166" s="105" t="s">
        <v>232</v>
      </c>
    </row>
    <row r="1167" spans="1:5" x14ac:dyDescent="0.25">
      <c r="A1167" s="77" t="s">
        <v>799</v>
      </c>
      <c r="B1167" s="78">
        <f>INSUMOS!B388</f>
        <v>50000</v>
      </c>
      <c r="C1167" s="98">
        <v>1</v>
      </c>
      <c r="D1167" s="75">
        <f t="shared" si="24"/>
        <v>50000</v>
      </c>
      <c r="E1167" s="105"/>
    </row>
    <row r="1168" spans="1:5" x14ac:dyDescent="0.25">
      <c r="A1168" s="77" t="s">
        <v>800</v>
      </c>
      <c r="B1168" s="78">
        <f>INSUMOS!B342</f>
        <v>160000</v>
      </c>
      <c r="C1168" s="98">
        <v>1</v>
      </c>
      <c r="D1168" s="75">
        <f t="shared" si="24"/>
        <v>160000</v>
      </c>
      <c r="E1168" s="105"/>
    </row>
    <row r="1169" spans="1:5" x14ac:dyDescent="0.25">
      <c r="A1169" s="82"/>
      <c r="B1169" s="83"/>
      <c r="C1169" s="83" t="s">
        <v>122</v>
      </c>
      <c r="D1169" s="83">
        <f>SUM(D1163:D1168)</f>
        <v>1788333.3333333335</v>
      </c>
      <c r="E1169" s="100">
        <f>SUM(E1163:E1168)</f>
        <v>43</v>
      </c>
    </row>
    <row r="1171" spans="1:5" x14ac:dyDescent="0.25">
      <c r="A1171" s="279" t="s">
        <v>991</v>
      </c>
      <c r="B1171" s="279"/>
      <c r="C1171" s="279"/>
      <c r="D1171" s="279"/>
      <c r="E1171" s="279"/>
    </row>
    <row r="1172" spans="1:5" x14ac:dyDescent="0.25">
      <c r="A1172" s="72" t="s">
        <v>92</v>
      </c>
      <c r="B1172" s="72" t="s">
        <v>226</v>
      </c>
      <c r="C1172" s="72" t="s">
        <v>227</v>
      </c>
      <c r="D1172" s="72" t="s">
        <v>228</v>
      </c>
      <c r="E1172" s="73" t="s">
        <v>229</v>
      </c>
    </row>
    <row r="1173" spans="1:5" x14ac:dyDescent="0.25">
      <c r="A1173" s="74" t="s">
        <v>695</v>
      </c>
      <c r="B1173" s="75">
        <f>INSUMOS!B133</f>
        <v>230000</v>
      </c>
      <c r="C1173" s="103">
        <v>1</v>
      </c>
      <c r="D1173" s="75">
        <f>C1173*B1173</f>
        <v>230000</v>
      </c>
      <c r="E1173" s="102">
        <f>INSUMOS!E133</f>
        <v>16.63</v>
      </c>
    </row>
    <row r="1174" spans="1:5" x14ac:dyDescent="0.25">
      <c r="A1174" s="77" t="s">
        <v>992</v>
      </c>
      <c r="B1174" s="78">
        <f>INSUMOS!B242</f>
        <v>280000</v>
      </c>
      <c r="C1174" s="98">
        <v>1</v>
      </c>
      <c r="D1174" s="75">
        <f>C1174*B1174</f>
        <v>280000</v>
      </c>
      <c r="E1174" s="97">
        <f>INSUMOS!E242</f>
        <v>5</v>
      </c>
    </row>
    <row r="1175" spans="1:5" x14ac:dyDescent="0.25">
      <c r="A1175" s="77" t="s">
        <v>698</v>
      </c>
      <c r="B1175" s="78">
        <f>INSUMOS!B291</f>
        <v>160000</v>
      </c>
      <c r="C1175" s="98">
        <v>1</v>
      </c>
      <c r="D1175" s="75">
        <f>C1175*B1175</f>
        <v>160000</v>
      </c>
      <c r="E1175" s="105" t="s">
        <v>232</v>
      </c>
    </row>
    <row r="1176" spans="1:5" x14ac:dyDescent="0.25">
      <c r="A1176" s="77" t="s">
        <v>699</v>
      </c>
      <c r="B1176" s="78">
        <f>INSUMOS!B305</f>
        <v>70000</v>
      </c>
      <c r="C1176" s="98">
        <v>1</v>
      </c>
      <c r="D1176" s="75">
        <f>C1176*B1176</f>
        <v>70000</v>
      </c>
      <c r="E1176" s="105"/>
    </row>
    <row r="1177" spans="1:5" x14ac:dyDescent="0.25">
      <c r="A1177" s="82"/>
      <c r="B1177" s="83"/>
      <c r="C1177" s="113" t="s">
        <v>122</v>
      </c>
      <c r="D1177" s="83">
        <f>SUM(D1173:D1176)</f>
        <v>740000</v>
      </c>
      <c r="E1177" s="100">
        <f>SUM(E1173:E1176)</f>
        <v>21.63</v>
      </c>
    </row>
    <row r="1179" spans="1:5" x14ac:dyDescent="0.25">
      <c r="A1179" s="279" t="s">
        <v>993</v>
      </c>
      <c r="B1179" s="279"/>
      <c r="C1179" s="279"/>
      <c r="D1179" s="279"/>
      <c r="E1179" s="279"/>
    </row>
    <row r="1180" spans="1:5" x14ac:dyDescent="0.25">
      <c r="A1180" s="72" t="s">
        <v>92</v>
      </c>
      <c r="B1180" s="72" t="s">
        <v>226</v>
      </c>
      <c r="C1180" s="72" t="s">
        <v>227</v>
      </c>
      <c r="D1180" s="72" t="s">
        <v>228</v>
      </c>
      <c r="E1180" s="73" t="s">
        <v>229</v>
      </c>
    </row>
    <row r="1181" spans="1:5" x14ac:dyDescent="0.25">
      <c r="A1181" s="74" t="s">
        <v>695</v>
      </c>
      <c r="B1181" s="75">
        <f>INSUMOS!B133</f>
        <v>230000</v>
      </c>
      <c r="C1181" s="103">
        <v>1</v>
      </c>
      <c r="D1181" s="75">
        <f>C1181*B1181</f>
        <v>230000</v>
      </c>
      <c r="E1181" s="102">
        <f>INSUMOS!E133</f>
        <v>16.63</v>
      </c>
    </row>
    <row r="1182" spans="1:5" x14ac:dyDescent="0.25">
      <c r="A1182" s="77" t="s">
        <v>709</v>
      </c>
      <c r="B1182" s="78">
        <f>INSUMOS!B244</f>
        <v>340000</v>
      </c>
      <c r="C1182" s="98">
        <v>1</v>
      </c>
      <c r="D1182" s="75">
        <f>C1182*B1182</f>
        <v>340000</v>
      </c>
      <c r="E1182" s="97">
        <f>INSUMOS!E244</f>
        <v>8</v>
      </c>
    </row>
    <row r="1183" spans="1:5" x14ac:dyDescent="0.25">
      <c r="A1183" s="77" t="s">
        <v>698</v>
      </c>
      <c r="B1183" s="78">
        <f>INSUMOS!B291</f>
        <v>160000</v>
      </c>
      <c r="C1183" s="98">
        <v>1</v>
      </c>
      <c r="D1183" s="75">
        <f>C1183*B1183</f>
        <v>160000</v>
      </c>
      <c r="E1183" s="105" t="s">
        <v>232</v>
      </c>
    </row>
    <row r="1184" spans="1:5" x14ac:dyDescent="0.25">
      <c r="A1184" s="77" t="s">
        <v>699</v>
      </c>
      <c r="B1184" s="78">
        <f>INSUMOS!B305</f>
        <v>70000</v>
      </c>
      <c r="C1184" s="98">
        <v>1</v>
      </c>
      <c r="D1184" s="75">
        <f>C1184*B1184</f>
        <v>70000</v>
      </c>
      <c r="E1184" s="105"/>
    </row>
    <row r="1185" spans="1:5" x14ac:dyDescent="0.25">
      <c r="A1185" s="82"/>
      <c r="B1185" s="83"/>
      <c r="C1185" s="113" t="s">
        <v>122</v>
      </c>
      <c r="D1185" s="83">
        <f>SUM(D1181:D1184)</f>
        <v>800000</v>
      </c>
      <c r="E1185" s="100">
        <f>SUM(E1181:E1184)</f>
        <v>24.63</v>
      </c>
    </row>
    <row r="1187" spans="1:5" x14ac:dyDescent="0.25">
      <c r="A1187" s="279" t="s">
        <v>994</v>
      </c>
      <c r="B1187" s="279"/>
      <c r="C1187" s="279"/>
      <c r="D1187" s="279"/>
      <c r="E1187" s="279"/>
    </row>
    <row r="1188" spans="1:5" x14ac:dyDescent="0.25">
      <c r="A1188" s="72" t="s">
        <v>92</v>
      </c>
      <c r="B1188" s="72" t="s">
        <v>226</v>
      </c>
      <c r="C1188" s="72" t="s">
        <v>227</v>
      </c>
      <c r="D1188" s="72" t="s">
        <v>228</v>
      </c>
      <c r="E1188" s="73" t="s">
        <v>229</v>
      </c>
    </row>
    <row r="1189" spans="1:5" x14ac:dyDescent="0.25">
      <c r="A1189" s="74" t="s">
        <v>995</v>
      </c>
      <c r="B1189" s="75">
        <f>INSUMOS!B136</f>
        <v>320000</v>
      </c>
      <c r="C1189" s="103">
        <v>1</v>
      </c>
      <c r="D1189" s="75">
        <f>C1189*B1189</f>
        <v>320000</v>
      </c>
      <c r="E1189" s="102">
        <f>INSUMOS!E136</f>
        <v>30</v>
      </c>
    </row>
    <row r="1190" spans="1:5" x14ac:dyDescent="0.25">
      <c r="A1190" s="77" t="s">
        <v>885</v>
      </c>
      <c r="B1190" s="78">
        <f>INSUMOS!B246</f>
        <v>380000</v>
      </c>
      <c r="C1190" s="98">
        <v>1</v>
      </c>
      <c r="D1190" s="75">
        <f>C1190*B1190</f>
        <v>380000</v>
      </c>
      <c r="E1190" s="97">
        <f>INSUMOS!E246</f>
        <v>12</v>
      </c>
    </row>
    <row r="1191" spans="1:5" x14ac:dyDescent="0.25">
      <c r="A1191" s="77" t="s">
        <v>996</v>
      </c>
      <c r="B1191" s="78">
        <f>INSUMOS!B294</f>
        <v>350000</v>
      </c>
      <c r="C1191" s="98">
        <v>1</v>
      </c>
      <c r="D1191" s="75">
        <f>C1191*B1191</f>
        <v>350000</v>
      </c>
      <c r="E1191" s="105" t="s">
        <v>232</v>
      </c>
    </row>
    <row r="1192" spans="1:5" x14ac:dyDescent="0.25">
      <c r="A1192" s="77" t="s">
        <v>997</v>
      </c>
      <c r="B1192" s="78">
        <f>INSUMOS!B308</f>
        <v>100000</v>
      </c>
      <c r="C1192" s="98">
        <v>1</v>
      </c>
      <c r="D1192" s="75">
        <f>C1192*B1192</f>
        <v>100000</v>
      </c>
      <c r="E1192" s="105"/>
    </row>
    <row r="1193" spans="1:5" x14ac:dyDescent="0.25">
      <c r="A1193" s="82"/>
      <c r="B1193" s="83"/>
      <c r="C1193" s="113" t="s">
        <v>122</v>
      </c>
      <c r="D1193" s="83">
        <f>SUM(D1189:D1192)</f>
        <v>1150000</v>
      </c>
      <c r="E1193" s="100">
        <f>SUM(E1189:E1192)</f>
        <v>42</v>
      </c>
    </row>
    <row r="1195" spans="1:5" x14ac:dyDescent="0.25">
      <c r="A1195" s="279" t="s">
        <v>998</v>
      </c>
      <c r="B1195" s="279"/>
      <c r="C1195" s="279"/>
      <c r="D1195" s="279"/>
      <c r="E1195" s="279"/>
    </row>
    <row r="1196" spans="1:5" x14ac:dyDescent="0.25">
      <c r="A1196" s="72" t="s">
        <v>92</v>
      </c>
      <c r="B1196" s="72" t="s">
        <v>226</v>
      </c>
      <c r="C1196" s="72" t="s">
        <v>227</v>
      </c>
      <c r="D1196" s="72" t="s">
        <v>228</v>
      </c>
      <c r="E1196" s="73" t="s">
        <v>229</v>
      </c>
    </row>
    <row r="1197" spans="1:5" x14ac:dyDescent="0.25">
      <c r="A1197" s="74" t="s">
        <v>995</v>
      </c>
      <c r="B1197" s="75">
        <f>INSUMOS!B136</f>
        <v>320000</v>
      </c>
      <c r="C1197" s="103">
        <v>1</v>
      </c>
      <c r="D1197" s="75">
        <f>C1197*B1197</f>
        <v>320000</v>
      </c>
      <c r="E1197" s="102">
        <f>INSUMOS!E136</f>
        <v>30</v>
      </c>
    </row>
    <row r="1198" spans="1:5" x14ac:dyDescent="0.25">
      <c r="A1198" s="77" t="s">
        <v>709</v>
      </c>
      <c r="B1198" s="78">
        <f>INSUMOS!B244</f>
        <v>340000</v>
      </c>
      <c r="C1198" s="98">
        <v>1</v>
      </c>
      <c r="D1198" s="75">
        <f>C1198*B1198</f>
        <v>340000</v>
      </c>
      <c r="E1198" s="97">
        <f>INSUMOS!E244</f>
        <v>8</v>
      </c>
    </row>
    <row r="1199" spans="1:5" x14ac:dyDescent="0.25">
      <c r="A1199" s="77" t="s">
        <v>996</v>
      </c>
      <c r="B1199" s="78">
        <f>INSUMOS!B294</f>
        <v>350000</v>
      </c>
      <c r="C1199" s="98">
        <v>1</v>
      </c>
      <c r="D1199" s="75">
        <f>C1199*B1199</f>
        <v>350000</v>
      </c>
      <c r="E1199" s="105" t="s">
        <v>232</v>
      </c>
    </row>
    <row r="1200" spans="1:5" x14ac:dyDescent="0.25">
      <c r="A1200" s="77" t="s">
        <v>997</v>
      </c>
      <c r="B1200" s="78">
        <f>INSUMOS!B308</f>
        <v>100000</v>
      </c>
      <c r="C1200" s="98">
        <v>1</v>
      </c>
      <c r="D1200" s="75">
        <f>C1200*B1200</f>
        <v>100000</v>
      </c>
      <c r="E1200" s="105"/>
    </row>
    <row r="1201" spans="1:5" x14ac:dyDescent="0.25">
      <c r="A1201" s="82"/>
      <c r="B1201" s="83"/>
      <c r="C1201" s="113" t="s">
        <v>122</v>
      </c>
      <c r="D1201" s="83">
        <f>SUM(D1197:D1200)</f>
        <v>1110000</v>
      </c>
      <c r="E1201" s="100">
        <f>SUM(E1197:E1200)</f>
        <v>38</v>
      </c>
    </row>
    <row r="1203" spans="1:5" x14ac:dyDescent="0.25">
      <c r="A1203" s="279" t="s">
        <v>999</v>
      </c>
      <c r="B1203" s="279"/>
      <c r="C1203" s="279"/>
      <c r="D1203" s="279"/>
      <c r="E1203" s="279"/>
    </row>
    <row r="1204" spans="1:5" x14ac:dyDescent="0.25">
      <c r="A1204" s="72" t="s">
        <v>92</v>
      </c>
      <c r="B1204" s="72" t="s">
        <v>93</v>
      </c>
      <c r="C1204" s="72" t="s">
        <v>227</v>
      </c>
      <c r="D1204" s="72" t="s">
        <v>228</v>
      </c>
      <c r="E1204" s="114" t="s">
        <v>229</v>
      </c>
    </row>
    <row r="1205" spans="1:5" x14ac:dyDescent="0.25">
      <c r="A1205" s="74" t="s">
        <v>838</v>
      </c>
      <c r="B1205" s="75">
        <f>INSUMOS!B182</f>
        <v>1900000</v>
      </c>
      <c r="C1205" s="103">
        <v>1</v>
      </c>
      <c r="D1205" s="75">
        <f t="shared" ref="D1205:D1210" si="25">C1205*B1205</f>
        <v>1900000</v>
      </c>
      <c r="E1205" s="102">
        <f>INSUMOS!E182</f>
        <v>124</v>
      </c>
    </row>
    <row r="1206" spans="1:5" x14ac:dyDescent="0.25">
      <c r="A1206" s="77" t="s">
        <v>968</v>
      </c>
      <c r="B1206" s="78">
        <f>INSUMOS!B224</f>
        <v>280000</v>
      </c>
      <c r="C1206" s="98">
        <v>1</v>
      </c>
      <c r="D1206" s="75">
        <f t="shared" si="25"/>
        <v>280000</v>
      </c>
      <c r="E1206" s="97">
        <f>INSUMOS!E224</f>
        <v>10</v>
      </c>
    </row>
    <row r="1207" spans="1:5" x14ac:dyDescent="0.25">
      <c r="A1207" s="77" t="s">
        <v>1000</v>
      </c>
      <c r="B1207" s="78">
        <f>INSUMOS!B406</f>
        <v>120000</v>
      </c>
      <c r="C1207" s="98">
        <v>1</v>
      </c>
      <c r="D1207" s="75">
        <f t="shared" si="25"/>
        <v>120000</v>
      </c>
      <c r="E1207" s="97"/>
    </row>
    <row r="1208" spans="1:5" x14ac:dyDescent="0.25">
      <c r="A1208" s="77" t="s">
        <v>841</v>
      </c>
      <c r="B1208" s="78">
        <f>INSUMOS!B372</f>
        <v>1000000</v>
      </c>
      <c r="C1208" s="98">
        <v>1</v>
      </c>
      <c r="D1208" s="75">
        <f t="shared" si="25"/>
        <v>1000000</v>
      </c>
      <c r="E1208" s="105" t="s">
        <v>232</v>
      </c>
    </row>
    <row r="1209" spans="1:5" x14ac:dyDescent="0.25">
      <c r="A1209" s="77" t="s">
        <v>842</v>
      </c>
      <c r="B1209" s="78">
        <f>INSUMOS!B392</f>
        <v>310000</v>
      </c>
      <c r="C1209" s="98">
        <v>1</v>
      </c>
      <c r="D1209" s="75">
        <f t="shared" si="25"/>
        <v>310000</v>
      </c>
      <c r="E1209" s="105"/>
    </row>
    <row r="1210" spans="1:5" x14ac:dyDescent="0.25">
      <c r="A1210" s="77" t="s">
        <v>843</v>
      </c>
      <c r="B1210" s="78">
        <f>INSUMOS!B346</f>
        <v>360000</v>
      </c>
      <c r="C1210" s="98">
        <v>1</v>
      </c>
      <c r="D1210" s="75">
        <f t="shared" si="25"/>
        <v>360000</v>
      </c>
      <c r="E1210" s="105"/>
    </row>
    <row r="1211" spans="1:5" x14ac:dyDescent="0.25">
      <c r="A1211" s="82"/>
      <c r="B1211" s="83"/>
      <c r="C1211" s="83" t="s">
        <v>122</v>
      </c>
      <c r="D1211" s="83">
        <f>SUM(D1205:D1210)</f>
        <v>3970000</v>
      </c>
      <c r="E1211" s="100">
        <f>SUM(E1205:E1210)</f>
        <v>134</v>
      </c>
    </row>
    <row r="1213" spans="1:5" x14ac:dyDescent="0.25">
      <c r="A1213" s="279" t="s">
        <v>1</v>
      </c>
      <c r="B1213" s="279"/>
      <c r="C1213" s="279"/>
      <c r="D1213" s="279"/>
      <c r="E1213" s="279"/>
    </row>
    <row r="1214" spans="1:5" x14ac:dyDescent="0.25">
      <c r="A1214" s="72" t="s">
        <v>92</v>
      </c>
      <c r="B1214" s="72" t="s">
        <v>226</v>
      </c>
      <c r="C1214" s="72" t="s">
        <v>227</v>
      </c>
      <c r="D1214" s="72" t="s">
        <v>228</v>
      </c>
      <c r="E1214" s="73" t="s">
        <v>229</v>
      </c>
    </row>
    <row r="1215" spans="1:5" x14ac:dyDescent="0.25">
      <c r="A1215" s="74" t="s">
        <v>905</v>
      </c>
      <c r="B1215" s="75">
        <f>INSUMOS!B167</f>
        <v>455000</v>
      </c>
      <c r="C1215" s="103">
        <v>1</v>
      </c>
      <c r="D1215" s="75">
        <f>C1215*B1215</f>
        <v>455000</v>
      </c>
      <c r="E1215" s="102">
        <f>INSUMOS!E167</f>
        <v>22.5</v>
      </c>
    </row>
    <row r="1216" spans="1:5" x14ac:dyDescent="0.25">
      <c r="A1216" s="77" t="s">
        <v>818</v>
      </c>
      <c r="B1216" s="78">
        <f>INSUMOS!B229</f>
        <v>336000</v>
      </c>
      <c r="C1216" s="98">
        <v>1</v>
      </c>
      <c r="D1216" s="75">
        <f>C1216*B1216</f>
        <v>336000</v>
      </c>
      <c r="E1216" s="97">
        <f>INSUMOS!E229</f>
        <v>8</v>
      </c>
    </row>
    <row r="1217" spans="1:5" x14ac:dyDescent="0.25">
      <c r="A1217" s="77" t="s">
        <v>736</v>
      </c>
      <c r="B1217" s="78">
        <f>INSUMOS!B354</f>
        <v>530000</v>
      </c>
      <c r="C1217" s="98">
        <v>1</v>
      </c>
      <c r="D1217" s="75">
        <f>C1217*B1217</f>
        <v>530000</v>
      </c>
      <c r="E1217" s="105" t="s">
        <v>232</v>
      </c>
    </row>
    <row r="1218" spans="1:5" x14ac:dyDescent="0.25">
      <c r="A1218" s="77" t="s">
        <v>750</v>
      </c>
      <c r="B1218" s="78">
        <f>INSUMOS!B373</f>
        <v>180000</v>
      </c>
      <c r="C1218" s="98">
        <v>1</v>
      </c>
      <c r="D1218" s="75">
        <f>C1218*B1218</f>
        <v>180000</v>
      </c>
      <c r="E1218" s="105"/>
    </row>
    <row r="1219" spans="1:5" x14ac:dyDescent="0.25">
      <c r="A1219" s="77" t="s">
        <v>737</v>
      </c>
      <c r="B1219" s="78">
        <f>INSUMOS!B317</f>
        <v>100000</v>
      </c>
      <c r="C1219" s="98">
        <v>1</v>
      </c>
      <c r="D1219" s="75">
        <f>C1219*B1219</f>
        <v>100000</v>
      </c>
      <c r="E1219" s="105"/>
    </row>
    <row r="1220" spans="1:5" x14ac:dyDescent="0.25">
      <c r="A1220" s="82"/>
      <c r="B1220" s="83"/>
      <c r="C1220" s="83" t="s">
        <v>122</v>
      </c>
      <c r="D1220" s="83">
        <f>SUM(D1215:D1219)</f>
        <v>1601000</v>
      </c>
      <c r="E1220" s="100">
        <f>SUM(E1215:E1219)</f>
        <v>30.5</v>
      </c>
    </row>
    <row r="1222" spans="1:5" x14ac:dyDescent="0.25">
      <c r="A1222" s="279" t="s">
        <v>1001</v>
      </c>
      <c r="B1222" s="279"/>
      <c r="C1222" s="279"/>
      <c r="D1222" s="279"/>
      <c r="E1222" s="279"/>
    </row>
    <row r="1223" spans="1:5" x14ac:dyDescent="0.25">
      <c r="A1223" s="72" t="s">
        <v>92</v>
      </c>
      <c r="B1223" s="72" t="s">
        <v>226</v>
      </c>
      <c r="C1223" s="72" t="s">
        <v>227</v>
      </c>
      <c r="D1223" s="72" t="s">
        <v>228</v>
      </c>
      <c r="E1223" s="73" t="s">
        <v>229</v>
      </c>
    </row>
    <row r="1224" spans="1:5" x14ac:dyDescent="0.25">
      <c r="A1224" s="74" t="s">
        <v>701</v>
      </c>
      <c r="B1224" s="75">
        <f>INSUMOS!B134</f>
        <v>260000</v>
      </c>
      <c r="C1224" s="103">
        <v>1</v>
      </c>
      <c r="D1224" s="75">
        <f>C1224*B1224</f>
        <v>260000</v>
      </c>
      <c r="E1224" s="102">
        <f>INSUMOS!E134</f>
        <v>24</v>
      </c>
    </row>
    <row r="1225" spans="1:5" x14ac:dyDescent="0.25">
      <c r="A1225" s="77" t="s">
        <v>1002</v>
      </c>
      <c r="B1225" s="78">
        <f>INSUMOS!B245</f>
        <v>360000</v>
      </c>
      <c r="C1225" s="98">
        <v>1</v>
      </c>
      <c r="D1225" s="75">
        <f>C1225*B1225</f>
        <v>360000</v>
      </c>
      <c r="E1225" s="97">
        <f>INSUMOS!E245</f>
        <v>10</v>
      </c>
    </row>
    <row r="1226" spans="1:5" x14ac:dyDescent="0.25">
      <c r="A1226" s="77" t="s">
        <v>702</v>
      </c>
      <c r="B1226" s="78">
        <f>INSUMOS!B292</f>
        <v>200000</v>
      </c>
      <c r="C1226" s="98">
        <v>1</v>
      </c>
      <c r="D1226" s="75">
        <f>C1226*B1226</f>
        <v>200000</v>
      </c>
      <c r="E1226" s="105" t="s">
        <v>232</v>
      </c>
    </row>
    <row r="1227" spans="1:5" x14ac:dyDescent="0.25">
      <c r="A1227" s="77" t="s">
        <v>703</v>
      </c>
      <c r="B1227" s="78">
        <f>INSUMOS!B306</f>
        <v>80000</v>
      </c>
      <c r="C1227" s="98">
        <v>1</v>
      </c>
      <c r="D1227" s="75">
        <f>C1227*B1227</f>
        <v>80000</v>
      </c>
      <c r="E1227" s="105"/>
    </row>
    <row r="1228" spans="1:5" x14ac:dyDescent="0.25">
      <c r="A1228" s="82"/>
      <c r="B1228" s="83"/>
      <c r="C1228" s="113" t="s">
        <v>122</v>
      </c>
      <c r="D1228" s="83">
        <f>SUM(D1224:D1227)</f>
        <v>900000</v>
      </c>
      <c r="E1228" s="100">
        <f>SUM(E1224:E1227)</f>
        <v>34</v>
      </c>
    </row>
    <row r="1230" spans="1:5" x14ac:dyDescent="0.25">
      <c r="A1230" s="279" t="s">
        <v>1003</v>
      </c>
      <c r="B1230" s="279"/>
      <c r="C1230" s="279"/>
      <c r="D1230" s="279"/>
      <c r="E1230" s="279"/>
    </row>
    <row r="1231" spans="1:5" x14ac:dyDescent="0.25">
      <c r="A1231" s="72" t="s">
        <v>92</v>
      </c>
      <c r="B1231" s="72" t="s">
        <v>226</v>
      </c>
      <c r="C1231" s="72" t="s">
        <v>227</v>
      </c>
      <c r="D1231" s="72" t="s">
        <v>228</v>
      </c>
      <c r="E1231" s="73" t="s">
        <v>229</v>
      </c>
    </row>
    <row r="1232" spans="1:5" x14ac:dyDescent="0.25">
      <c r="A1232" s="74" t="s">
        <v>685</v>
      </c>
      <c r="B1232" s="75">
        <f>INSUMOS!B154</f>
        <v>850000</v>
      </c>
      <c r="C1232" s="103">
        <v>1</v>
      </c>
      <c r="D1232" s="75">
        <f>C1232*B1232</f>
        <v>850000</v>
      </c>
      <c r="E1232" s="102">
        <f>INSUMOS!E154</f>
        <v>28.5</v>
      </c>
    </row>
    <row r="1233" spans="1:5" x14ac:dyDescent="0.25">
      <c r="A1233" s="77" t="s">
        <v>1004</v>
      </c>
      <c r="B1233" s="78">
        <f>INSUMOS!B211</f>
        <v>430000</v>
      </c>
      <c r="C1233" s="98">
        <v>1</v>
      </c>
      <c r="D1233" s="75">
        <f>C1233*B1233</f>
        <v>430000</v>
      </c>
      <c r="E1233" s="97">
        <f>INSUMOS!E211</f>
        <v>10</v>
      </c>
    </row>
    <row r="1234" spans="1:5" x14ac:dyDescent="0.25">
      <c r="A1234" s="77" t="s">
        <v>687</v>
      </c>
      <c r="B1234" s="78">
        <f>INSUMOS!B355</f>
        <v>600000</v>
      </c>
      <c r="C1234" s="98">
        <v>1</v>
      </c>
      <c r="D1234" s="75">
        <f>C1234*B1234</f>
        <v>600000</v>
      </c>
      <c r="E1234" s="105" t="s">
        <v>232</v>
      </c>
    </row>
    <row r="1235" spans="1:5" x14ac:dyDescent="0.25">
      <c r="A1235" s="77" t="s">
        <v>688</v>
      </c>
      <c r="B1235" s="78">
        <f>INSUMOS!B374</f>
        <v>260000</v>
      </c>
      <c r="C1235" s="98">
        <v>1</v>
      </c>
      <c r="D1235" s="75">
        <f>C1235*B1235</f>
        <v>260000</v>
      </c>
      <c r="E1235" s="105"/>
    </row>
    <row r="1236" spans="1:5" x14ac:dyDescent="0.25">
      <c r="A1236" s="77" t="s">
        <v>689</v>
      </c>
      <c r="B1236" s="78">
        <f>INSUMOS!B318</f>
        <v>120000</v>
      </c>
      <c r="C1236" s="98">
        <v>1</v>
      </c>
      <c r="D1236" s="75">
        <f>C1236*B1236</f>
        <v>120000</v>
      </c>
      <c r="E1236" s="105"/>
    </row>
    <row r="1237" spans="1:5" x14ac:dyDescent="0.25">
      <c r="A1237" s="82"/>
      <c r="B1237" s="83"/>
      <c r="C1237" s="83" t="s">
        <v>122</v>
      </c>
      <c r="D1237" s="83">
        <f>SUM(D1232:D1236)</f>
        <v>2260000</v>
      </c>
      <c r="E1237" s="100">
        <f>SUM(E1232:E1236)</f>
        <v>38.5</v>
      </c>
    </row>
    <row r="1239" spans="1:5" x14ac:dyDescent="0.25">
      <c r="A1239" s="279" t="s">
        <v>1005</v>
      </c>
      <c r="B1239" s="279"/>
      <c r="C1239" s="279"/>
      <c r="D1239" s="279"/>
      <c r="E1239" s="279"/>
    </row>
    <row r="1240" spans="1:5" x14ac:dyDescent="0.25">
      <c r="A1240" s="72" t="s">
        <v>92</v>
      </c>
      <c r="B1240" s="72" t="s">
        <v>226</v>
      </c>
      <c r="C1240" s="72" t="s">
        <v>227</v>
      </c>
      <c r="D1240" s="72" t="s">
        <v>228</v>
      </c>
      <c r="E1240" s="73" t="s">
        <v>229</v>
      </c>
    </row>
    <row r="1241" spans="1:5" x14ac:dyDescent="0.25">
      <c r="A1241" s="74" t="s">
        <v>1006</v>
      </c>
      <c r="B1241" s="75">
        <f>INSUMOS!B135</f>
        <v>310000</v>
      </c>
      <c r="C1241" s="103">
        <v>1</v>
      </c>
      <c r="D1241" s="75">
        <f>C1241*B1241</f>
        <v>310000</v>
      </c>
      <c r="E1241" s="102">
        <f>INSUMOS!E135</f>
        <v>24</v>
      </c>
    </row>
    <row r="1242" spans="1:5" x14ac:dyDescent="0.25">
      <c r="A1242" s="77" t="s">
        <v>1002</v>
      </c>
      <c r="B1242" s="78">
        <f>INSUMOS!B245</f>
        <v>360000</v>
      </c>
      <c r="C1242" s="98">
        <v>1</v>
      </c>
      <c r="D1242" s="75">
        <f>C1242*B1242</f>
        <v>360000</v>
      </c>
      <c r="E1242" s="97">
        <f>INSUMOS!E245</f>
        <v>10</v>
      </c>
    </row>
    <row r="1243" spans="1:5" x14ac:dyDescent="0.25">
      <c r="A1243" s="77" t="s">
        <v>1007</v>
      </c>
      <c r="B1243" s="78">
        <f>INSUMOS!B293</f>
        <v>300000</v>
      </c>
      <c r="C1243" s="98">
        <v>1</v>
      </c>
      <c r="D1243" s="75">
        <f>C1243*B1243</f>
        <v>300000</v>
      </c>
      <c r="E1243" s="105" t="s">
        <v>232</v>
      </c>
    </row>
    <row r="1244" spans="1:5" x14ac:dyDescent="0.25">
      <c r="A1244" s="77" t="s">
        <v>1008</v>
      </c>
      <c r="B1244" s="78">
        <f>INSUMOS!B307</f>
        <v>90000</v>
      </c>
      <c r="C1244" s="98">
        <v>1</v>
      </c>
      <c r="D1244" s="75">
        <f>C1244*B1244</f>
        <v>90000</v>
      </c>
      <c r="E1244" s="105"/>
    </row>
    <row r="1245" spans="1:5" x14ac:dyDescent="0.25">
      <c r="A1245" s="82"/>
      <c r="B1245" s="83"/>
      <c r="C1245" s="113" t="s">
        <v>122</v>
      </c>
      <c r="D1245" s="83">
        <f>SUM(D1241:D1244)</f>
        <v>1060000</v>
      </c>
      <c r="E1245" s="100">
        <f>SUM(E1241:E1244)</f>
        <v>34</v>
      </c>
    </row>
    <row r="1247" spans="1:5" x14ac:dyDescent="0.25">
      <c r="A1247" s="279" t="s">
        <v>1009</v>
      </c>
      <c r="B1247" s="279"/>
      <c r="C1247" s="279"/>
      <c r="D1247" s="279"/>
      <c r="E1247" s="279"/>
    </row>
    <row r="1248" spans="1:5" x14ac:dyDescent="0.25">
      <c r="A1248" s="72" t="s">
        <v>92</v>
      </c>
      <c r="B1248" s="72" t="s">
        <v>226</v>
      </c>
      <c r="C1248" s="72" t="s">
        <v>227</v>
      </c>
      <c r="D1248" s="72" t="s">
        <v>228</v>
      </c>
      <c r="E1248" s="73" t="s">
        <v>229</v>
      </c>
    </row>
    <row r="1249" spans="1:5" x14ac:dyDescent="0.25">
      <c r="A1249" s="74" t="s">
        <v>970</v>
      </c>
      <c r="B1249" s="75">
        <f>INSUMOS!B204</f>
        <v>130000</v>
      </c>
      <c r="C1249" s="103">
        <v>1</v>
      </c>
      <c r="D1249" s="75">
        <f>C1249*B1249</f>
        <v>130000</v>
      </c>
      <c r="E1249" s="102">
        <f>INSUMOS!E204</f>
        <v>4.3</v>
      </c>
    </row>
    <row r="1250" spans="1:5" x14ac:dyDescent="0.25">
      <c r="A1250" s="77" t="s">
        <v>814</v>
      </c>
      <c r="B1250" s="78">
        <f>INSUMOS!B15</f>
        <v>140000</v>
      </c>
      <c r="C1250" s="98">
        <v>0.15</v>
      </c>
      <c r="D1250" s="75">
        <f>C1250*B1250</f>
        <v>21000</v>
      </c>
      <c r="E1250" s="97">
        <f>C1250*INSUMOS!E15</f>
        <v>1.3424581274339329</v>
      </c>
    </row>
    <row r="1251" spans="1:5" x14ac:dyDescent="0.25">
      <c r="A1251" s="77" t="s">
        <v>650</v>
      </c>
      <c r="B1251" s="78">
        <f>INSUMOS!B296</f>
        <v>178200</v>
      </c>
      <c r="C1251" s="98">
        <v>1</v>
      </c>
      <c r="D1251" s="75">
        <f>C1251*B1251</f>
        <v>178200</v>
      </c>
      <c r="E1251" s="112"/>
    </row>
    <row r="1252" spans="1:5" x14ac:dyDescent="0.25">
      <c r="A1252" s="77" t="s">
        <v>777</v>
      </c>
      <c r="B1252" s="78">
        <f>INSUMOS!B422</f>
        <v>240000</v>
      </c>
      <c r="C1252" s="98">
        <v>1</v>
      </c>
      <c r="D1252" s="75">
        <f>C1252*B1252</f>
        <v>240000</v>
      </c>
      <c r="E1252" s="105"/>
    </row>
    <row r="1253" spans="1:5" x14ac:dyDescent="0.25">
      <c r="A1253" s="77" t="s">
        <v>778</v>
      </c>
      <c r="B1253" s="78">
        <f>INSUMOS!B334</f>
        <v>45000</v>
      </c>
      <c r="C1253" s="98">
        <v>1</v>
      </c>
      <c r="D1253" s="75">
        <f>C1253*B1253</f>
        <v>45000</v>
      </c>
      <c r="E1253" s="105"/>
    </row>
    <row r="1254" spans="1:5" x14ac:dyDescent="0.25">
      <c r="A1254" s="82"/>
      <c r="B1254" s="83"/>
      <c r="C1254" s="83" t="s">
        <v>122</v>
      </c>
      <c r="D1254" s="83">
        <f>SUM(D1249:D1253)</f>
        <v>614200</v>
      </c>
      <c r="E1254" s="100">
        <f>SUM(E1249:E1253)</f>
        <v>5.6424581274339332</v>
      </c>
    </row>
    <row r="1256" spans="1:5" x14ac:dyDescent="0.25">
      <c r="A1256" s="279" t="s">
        <v>1010</v>
      </c>
      <c r="B1256" s="279"/>
      <c r="C1256" s="279"/>
      <c r="D1256" s="279"/>
      <c r="E1256" s="279"/>
    </row>
    <row r="1257" spans="1:5" x14ac:dyDescent="0.25">
      <c r="A1257" s="72" t="s">
        <v>92</v>
      </c>
      <c r="B1257" s="72" t="s">
        <v>226</v>
      </c>
      <c r="C1257" s="72" t="s">
        <v>227</v>
      </c>
      <c r="D1257" s="72" t="s">
        <v>228</v>
      </c>
      <c r="E1257" s="73" t="s">
        <v>229</v>
      </c>
    </row>
    <row r="1258" spans="1:5" x14ac:dyDescent="0.25">
      <c r="A1258" s="74" t="s">
        <v>685</v>
      </c>
      <c r="B1258" s="75">
        <f>INSUMOS!B154</f>
        <v>850000</v>
      </c>
      <c r="C1258" s="103">
        <v>1</v>
      </c>
      <c r="D1258" s="75">
        <f>C1258*B1258</f>
        <v>850000</v>
      </c>
      <c r="E1258" s="102">
        <f>INSUMOS!E154</f>
        <v>28.5</v>
      </c>
    </row>
    <row r="1259" spans="1:5" x14ac:dyDescent="0.25">
      <c r="A1259" s="77" t="s">
        <v>749</v>
      </c>
      <c r="B1259" s="78">
        <f>INSUMOS!B208</f>
        <v>260000</v>
      </c>
      <c r="C1259" s="98">
        <v>1</v>
      </c>
      <c r="D1259" s="75">
        <f>C1259*B1259</f>
        <v>260000</v>
      </c>
      <c r="E1259" s="97">
        <f>INSUMOS!E208</f>
        <v>5</v>
      </c>
    </row>
    <row r="1260" spans="1:5" x14ac:dyDescent="0.25">
      <c r="A1260" s="77" t="s">
        <v>687</v>
      </c>
      <c r="B1260" s="78">
        <f>INSUMOS!B355</f>
        <v>600000</v>
      </c>
      <c r="C1260" s="98">
        <v>1</v>
      </c>
      <c r="D1260" s="75">
        <f>C1260*B1260</f>
        <v>600000</v>
      </c>
      <c r="E1260" s="105" t="s">
        <v>232</v>
      </c>
    </row>
    <row r="1261" spans="1:5" x14ac:dyDescent="0.25">
      <c r="A1261" s="77" t="s">
        <v>688</v>
      </c>
      <c r="B1261" s="78">
        <f>INSUMOS!B374</f>
        <v>260000</v>
      </c>
      <c r="C1261" s="98">
        <v>1</v>
      </c>
      <c r="D1261" s="75">
        <f>C1261*B1261</f>
        <v>260000</v>
      </c>
      <c r="E1261" s="105"/>
    </row>
    <row r="1262" spans="1:5" x14ac:dyDescent="0.25">
      <c r="A1262" s="77" t="s">
        <v>689</v>
      </c>
      <c r="B1262" s="78">
        <f>INSUMOS!B318</f>
        <v>120000</v>
      </c>
      <c r="C1262" s="98">
        <v>1</v>
      </c>
      <c r="D1262" s="75">
        <f>C1262*B1262</f>
        <v>120000</v>
      </c>
      <c r="E1262" s="105"/>
    </row>
    <row r="1263" spans="1:5" x14ac:dyDescent="0.25">
      <c r="A1263" s="82"/>
      <c r="B1263" s="83"/>
      <c r="C1263" s="83" t="s">
        <v>122</v>
      </c>
      <c r="D1263" s="83">
        <f>SUM(D1258:D1262)</f>
        <v>2090000</v>
      </c>
      <c r="E1263" s="100">
        <f>SUM(E1258:E1262)</f>
        <v>33.5</v>
      </c>
    </row>
    <row r="1265" spans="1:5" x14ac:dyDescent="0.25">
      <c r="A1265" s="279" t="s">
        <v>1011</v>
      </c>
      <c r="B1265" s="279"/>
      <c r="C1265" s="279"/>
      <c r="D1265" s="279"/>
      <c r="E1265" s="279"/>
    </row>
    <row r="1266" spans="1:5" x14ac:dyDescent="0.25">
      <c r="A1266" s="72" t="s">
        <v>92</v>
      </c>
      <c r="B1266" s="72" t="s">
        <v>93</v>
      </c>
      <c r="C1266" s="72" t="s">
        <v>227</v>
      </c>
      <c r="D1266" s="72" t="s">
        <v>228</v>
      </c>
      <c r="E1266" s="114" t="s">
        <v>229</v>
      </c>
    </row>
    <row r="1267" spans="1:5" x14ac:dyDescent="0.25">
      <c r="A1267" s="74" t="s">
        <v>1012</v>
      </c>
      <c r="B1267" s="75">
        <f>INSUMOS!B179</f>
        <v>990000</v>
      </c>
      <c r="C1267" s="103">
        <v>1</v>
      </c>
      <c r="D1267" s="75">
        <f t="shared" ref="D1267:D1272" si="26">C1267*B1267</f>
        <v>990000</v>
      </c>
      <c r="E1267" s="102">
        <f>INSUMOS!E179</f>
        <v>50</v>
      </c>
    </row>
    <row r="1268" spans="1:5" x14ac:dyDescent="0.25">
      <c r="A1268" s="77" t="s">
        <v>876</v>
      </c>
      <c r="B1268" s="78">
        <f>INSUMOS!B223</f>
        <v>230000</v>
      </c>
      <c r="C1268" s="98">
        <v>1</v>
      </c>
      <c r="D1268" s="75">
        <f t="shared" si="26"/>
        <v>230000</v>
      </c>
      <c r="E1268" s="97">
        <f>INSUMOS!E223</f>
        <v>8</v>
      </c>
    </row>
    <row r="1269" spans="1:5" x14ac:dyDescent="0.25">
      <c r="A1269" s="77" t="s">
        <v>827</v>
      </c>
      <c r="B1269" s="78">
        <f>INSUMOS!B405</f>
        <v>90000</v>
      </c>
      <c r="C1269" s="98">
        <v>1</v>
      </c>
      <c r="D1269" s="75">
        <f t="shared" si="26"/>
        <v>90000</v>
      </c>
      <c r="E1269" s="97"/>
    </row>
    <row r="1270" spans="1:5" x14ac:dyDescent="0.25">
      <c r="A1270" s="77" t="s">
        <v>828</v>
      </c>
      <c r="B1270" s="78">
        <f>INSUMOS!B369</f>
        <v>650000</v>
      </c>
      <c r="C1270" s="98">
        <v>1</v>
      </c>
      <c r="D1270" s="75">
        <f t="shared" si="26"/>
        <v>650000</v>
      </c>
      <c r="E1270" s="105" t="s">
        <v>232</v>
      </c>
    </row>
    <row r="1271" spans="1:5" x14ac:dyDescent="0.25">
      <c r="A1271" s="77" t="s">
        <v>829</v>
      </c>
      <c r="B1271" s="78">
        <f>INSUMOS!B389</f>
        <v>100000</v>
      </c>
      <c r="C1271" s="98">
        <v>1</v>
      </c>
      <c r="D1271" s="75">
        <f t="shared" si="26"/>
        <v>100000</v>
      </c>
      <c r="E1271" s="105"/>
    </row>
    <row r="1272" spans="1:5" x14ac:dyDescent="0.25">
      <c r="A1272" s="77" t="s">
        <v>830</v>
      </c>
      <c r="B1272" s="78">
        <f>INSUMOS!B343</f>
        <v>200000</v>
      </c>
      <c r="C1272" s="98">
        <v>1</v>
      </c>
      <c r="D1272" s="75">
        <f t="shared" si="26"/>
        <v>200000</v>
      </c>
      <c r="E1272" s="105"/>
    </row>
    <row r="1273" spans="1:5" x14ac:dyDescent="0.25">
      <c r="A1273" s="82"/>
      <c r="B1273" s="83"/>
      <c r="C1273" s="83" t="s">
        <v>122</v>
      </c>
      <c r="D1273" s="83">
        <f>SUM(D1267:D1272)</f>
        <v>2260000</v>
      </c>
      <c r="E1273" s="100">
        <f>SUM(E1267:E1272)</f>
        <v>58</v>
      </c>
    </row>
    <row r="1275" spans="1:5" x14ac:dyDescent="0.25">
      <c r="A1275" s="279" t="s">
        <v>1013</v>
      </c>
      <c r="B1275" s="279"/>
      <c r="C1275" s="279"/>
      <c r="D1275" s="279"/>
      <c r="E1275" s="279"/>
    </row>
    <row r="1276" spans="1:5" x14ac:dyDescent="0.25">
      <c r="A1276" s="72" t="s">
        <v>92</v>
      </c>
      <c r="B1276" s="72" t="s">
        <v>93</v>
      </c>
      <c r="C1276" s="72" t="s">
        <v>227</v>
      </c>
      <c r="D1276" s="72" t="s">
        <v>228</v>
      </c>
      <c r="E1276" s="114" t="s">
        <v>229</v>
      </c>
    </row>
    <row r="1277" spans="1:5" x14ac:dyDescent="0.25">
      <c r="A1277" s="74" t="s">
        <v>856</v>
      </c>
      <c r="B1277" s="75">
        <f>INSUMOS!B156</f>
        <v>1300000</v>
      </c>
      <c r="C1277" s="103">
        <v>1</v>
      </c>
      <c r="D1277" s="75">
        <f t="shared" ref="D1277:D1282" si="27">C1277*B1277</f>
        <v>1300000</v>
      </c>
      <c r="E1277" s="102">
        <f>INSUMOS!E156</f>
        <v>42</v>
      </c>
    </row>
    <row r="1278" spans="1:5" x14ac:dyDescent="0.25">
      <c r="A1278" s="77" t="s">
        <v>979</v>
      </c>
      <c r="B1278" s="78">
        <f>INSUMOS!B213</f>
        <v>650000</v>
      </c>
      <c r="C1278" s="98">
        <v>1</v>
      </c>
      <c r="D1278" s="75">
        <f t="shared" si="27"/>
        <v>650000</v>
      </c>
      <c r="E1278" s="97">
        <f>INSUMOS!E213</f>
        <v>16</v>
      </c>
    </row>
    <row r="1279" spans="1:5" x14ac:dyDescent="0.25">
      <c r="A1279" s="77" t="s">
        <v>788</v>
      </c>
      <c r="B1279" s="78">
        <f>INSUMOS!B401</f>
        <v>135000</v>
      </c>
      <c r="C1279" s="98">
        <v>1</v>
      </c>
      <c r="D1279" s="75">
        <f t="shared" si="27"/>
        <v>135000</v>
      </c>
      <c r="E1279" s="97"/>
    </row>
    <row r="1280" spans="1:5" x14ac:dyDescent="0.25">
      <c r="A1280" s="77" t="s">
        <v>789</v>
      </c>
      <c r="B1280" s="78">
        <f>INSUMOS!B357</f>
        <v>680000</v>
      </c>
      <c r="C1280" s="98">
        <v>1</v>
      </c>
      <c r="D1280" s="75">
        <f t="shared" si="27"/>
        <v>680000</v>
      </c>
      <c r="E1280" s="105" t="s">
        <v>232</v>
      </c>
    </row>
    <row r="1281" spans="1:5" x14ac:dyDescent="0.25">
      <c r="A1281" s="77" t="s">
        <v>790</v>
      </c>
      <c r="B1281" s="78">
        <f>INSUMOS!B376</f>
        <v>480000</v>
      </c>
      <c r="C1281" s="98">
        <v>1</v>
      </c>
      <c r="D1281" s="75">
        <f t="shared" si="27"/>
        <v>480000</v>
      </c>
      <c r="E1281" s="105"/>
    </row>
    <row r="1282" spans="1:5" x14ac:dyDescent="0.25">
      <c r="A1282" s="77" t="s">
        <v>791</v>
      </c>
      <c r="B1282" s="78">
        <f>INSUMOS!B320</f>
        <v>180000</v>
      </c>
      <c r="C1282" s="98">
        <v>1</v>
      </c>
      <c r="D1282" s="75">
        <f t="shared" si="27"/>
        <v>180000</v>
      </c>
      <c r="E1282" s="105"/>
    </row>
    <row r="1283" spans="1:5" x14ac:dyDescent="0.25">
      <c r="A1283" s="82"/>
      <c r="B1283" s="83"/>
      <c r="C1283" s="83" t="s">
        <v>122</v>
      </c>
      <c r="D1283" s="83">
        <f>SUM(D1277:D1282)</f>
        <v>3425000</v>
      </c>
      <c r="E1283" s="100">
        <f>SUM(E1277:E1282)</f>
        <v>58</v>
      </c>
    </row>
    <row r="1285" spans="1:5" x14ac:dyDescent="0.25">
      <c r="A1285" s="279" t="s">
        <v>1014</v>
      </c>
      <c r="B1285" s="279"/>
      <c r="C1285" s="279"/>
      <c r="D1285" s="279"/>
      <c r="E1285" s="279"/>
    </row>
    <row r="1286" spans="1:5" x14ac:dyDescent="0.25">
      <c r="A1286" s="72" t="s">
        <v>92</v>
      </c>
      <c r="B1286" s="72" t="s">
        <v>93</v>
      </c>
      <c r="C1286" s="72" t="s">
        <v>227</v>
      </c>
      <c r="D1286" s="72" t="s">
        <v>228</v>
      </c>
      <c r="E1286" s="114" t="s">
        <v>229</v>
      </c>
    </row>
    <row r="1287" spans="1:5" x14ac:dyDescent="0.25">
      <c r="A1287" s="74" t="s">
        <v>1015</v>
      </c>
      <c r="B1287" s="75">
        <f>INSUMOS!B195</f>
        <v>1400000</v>
      </c>
      <c r="C1287" s="103">
        <v>1</v>
      </c>
      <c r="D1287" s="75">
        <f t="shared" ref="D1287:D1292" si="28">C1287*B1287</f>
        <v>1400000</v>
      </c>
      <c r="E1287" s="102">
        <f>INSUMOS!E195</f>
        <v>110</v>
      </c>
    </row>
    <row r="1288" spans="1:5" x14ac:dyDescent="0.25">
      <c r="A1288" s="77" t="s">
        <v>939</v>
      </c>
      <c r="B1288" s="78">
        <f>INSUMOS!B236</f>
        <v>450000</v>
      </c>
      <c r="C1288" s="98">
        <v>1</v>
      </c>
      <c r="D1288" s="75">
        <f t="shared" si="28"/>
        <v>450000</v>
      </c>
      <c r="E1288" s="97">
        <f>INSUMOS!E236</f>
        <v>13</v>
      </c>
    </row>
    <row r="1289" spans="1:5" x14ac:dyDescent="0.25">
      <c r="A1289" s="77" t="s">
        <v>1016</v>
      </c>
      <c r="B1289" s="78">
        <f>INSUMOS!B419</f>
        <v>650000</v>
      </c>
      <c r="C1289" s="98">
        <v>1</v>
      </c>
      <c r="D1289" s="75">
        <f t="shared" si="28"/>
        <v>650000</v>
      </c>
      <c r="E1289" s="112"/>
    </row>
    <row r="1290" spans="1:5" x14ac:dyDescent="0.25">
      <c r="A1290" s="77" t="s">
        <v>1017</v>
      </c>
      <c r="B1290" s="78">
        <f>INSUMOS!B382</f>
        <v>330000</v>
      </c>
      <c r="C1290" s="98">
        <v>1</v>
      </c>
      <c r="D1290" s="75">
        <f t="shared" si="28"/>
        <v>330000</v>
      </c>
      <c r="E1290" s="105"/>
    </row>
    <row r="1291" spans="1:5" x14ac:dyDescent="0.25">
      <c r="A1291" s="77" t="s">
        <v>940</v>
      </c>
      <c r="B1291" s="78">
        <f>INSUMOS!B395</f>
        <v>170000</v>
      </c>
      <c r="C1291" s="98">
        <v>1</v>
      </c>
      <c r="D1291" s="75">
        <f t="shared" si="28"/>
        <v>170000</v>
      </c>
      <c r="E1291" s="105"/>
    </row>
    <row r="1292" spans="1:5" x14ac:dyDescent="0.25">
      <c r="A1292" s="77" t="s">
        <v>1018</v>
      </c>
      <c r="B1292" s="78">
        <f>INSUMOS!B331</f>
        <v>150000</v>
      </c>
      <c r="C1292" s="98">
        <v>1</v>
      </c>
      <c r="D1292" s="75">
        <f t="shared" si="28"/>
        <v>150000</v>
      </c>
      <c r="E1292" s="105"/>
    </row>
    <row r="1293" spans="1:5" x14ac:dyDescent="0.25">
      <c r="A1293" s="82"/>
      <c r="B1293" s="83"/>
      <c r="C1293" s="83" t="s">
        <v>122</v>
      </c>
      <c r="D1293" s="83">
        <f>SUM(D1287:D1292)</f>
        <v>3150000</v>
      </c>
      <c r="E1293" s="100">
        <f>SUM(E1287:E1292)</f>
        <v>123</v>
      </c>
    </row>
    <row r="1295" spans="1:5" x14ac:dyDescent="0.25">
      <c r="A1295" s="279" t="s">
        <v>1019</v>
      </c>
      <c r="B1295" s="279"/>
      <c r="C1295" s="279"/>
      <c r="D1295" s="279"/>
      <c r="E1295" s="279"/>
    </row>
    <row r="1296" spans="1:5" x14ac:dyDescent="0.25">
      <c r="A1296" s="72" t="s">
        <v>92</v>
      </c>
      <c r="B1296" s="72" t="s">
        <v>93</v>
      </c>
      <c r="C1296" s="72" t="s">
        <v>227</v>
      </c>
      <c r="D1296" s="72" t="s">
        <v>228</v>
      </c>
      <c r="E1296" s="114" t="s">
        <v>229</v>
      </c>
    </row>
    <row r="1297" spans="1:5" x14ac:dyDescent="0.25">
      <c r="A1297" s="74" t="s">
        <v>1020</v>
      </c>
      <c r="B1297" s="75">
        <f>INSUMOS!B201</f>
        <v>1750000</v>
      </c>
      <c r="C1297" s="103">
        <v>1</v>
      </c>
      <c r="D1297" s="75">
        <f t="shared" ref="D1297:D1302" si="29">C1297*B1297</f>
        <v>1750000</v>
      </c>
      <c r="E1297" s="102">
        <f>INSUMOS!E201</f>
        <v>110</v>
      </c>
    </row>
    <row r="1298" spans="1:5" x14ac:dyDescent="0.25">
      <c r="A1298" s="77" t="s">
        <v>943</v>
      </c>
      <c r="B1298" s="78">
        <f>INSUMOS!B239</f>
        <v>600000</v>
      </c>
      <c r="C1298" s="98">
        <v>1</v>
      </c>
      <c r="D1298" s="75">
        <f t="shared" si="29"/>
        <v>600000</v>
      </c>
      <c r="E1298" s="97">
        <f>INSUMOS!E239</f>
        <v>13</v>
      </c>
    </row>
    <row r="1299" spans="1:5" x14ac:dyDescent="0.25">
      <c r="A1299" s="77" t="s">
        <v>1016</v>
      </c>
      <c r="B1299" s="78">
        <f>INSUMOS!B419</f>
        <v>650000</v>
      </c>
      <c r="C1299" s="98">
        <v>1</v>
      </c>
      <c r="D1299" s="75">
        <f t="shared" si="29"/>
        <v>650000</v>
      </c>
      <c r="E1299" s="112"/>
    </row>
    <row r="1300" spans="1:5" x14ac:dyDescent="0.25">
      <c r="A1300" s="77" t="s">
        <v>1017</v>
      </c>
      <c r="B1300" s="78">
        <f>INSUMOS!B382</f>
        <v>330000</v>
      </c>
      <c r="C1300" s="98">
        <v>1</v>
      </c>
      <c r="D1300" s="75">
        <f t="shared" si="29"/>
        <v>330000</v>
      </c>
      <c r="E1300" s="105"/>
    </row>
    <row r="1301" spans="1:5" x14ac:dyDescent="0.25">
      <c r="A1301" s="77" t="s">
        <v>940</v>
      </c>
      <c r="B1301" s="78">
        <f>INSUMOS!B395</f>
        <v>170000</v>
      </c>
      <c r="C1301" s="98">
        <v>1</v>
      </c>
      <c r="D1301" s="75">
        <f t="shared" si="29"/>
        <v>170000</v>
      </c>
      <c r="E1301" s="105"/>
    </row>
    <row r="1302" spans="1:5" x14ac:dyDescent="0.25">
      <c r="A1302" s="77" t="s">
        <v>1018</v>
      </c>
      <c r="B1302" s="78">
        <f>INSUMOS!B331</f>
        <v>150000</v>
      </c>
      <c r="C1302" s="98">
        <v>1</v>
      </c>
      <c r="D1302" s="75">
        <f t="shared" si="29"/>
        <v>150000</v>
      </c>
      <c r="E1302" s="105"/>
    </row>
    <row r="1303" spans="1:5" x14ac:dyDescent="0.25">
      <c r="A1303" s="82"/>
      <c r="B1303" s="83"/>
      <c r="C1303" s="83" t="s">
        <v>122</v>
      </c>
      <c r="D1303" s="83">
        <f>SUM(D1297:D1302)</f>
        <v>3650000</v>
      </c>
      <c r="E1303" s="100">
        <f>SUM(E1297:E1302)</f>
        <v>123</v>
      </c>
    </row>
    <row r="1305" spans="1:5" x14ac:dyDescent="0.25">
      <c r="A1305" s="279" t="s">
        <v>1021</v>
      </c>
      <c r="B1305" s="279"/>
      <c r="C1305" s="279"/>
      <c r="D1305" s="279"/>
      <c r="E1305" s="279"/>
    </row>
    <row r="1306" spans="1:5" x14ac:dyDescent="0.25">
      <c r="A1306" s="72" t="s">
        <v>92</v>
      </c>
      <c r="B1306" s="72" t="s">
        <v>226</v>
      </c>
      <c r="C1306" s="72" t="s">
        <v>227</v>
      </c>
      <c r="D1306" s="72" t="s">
        <v>228</v>
      </c>
      <c r="E1306" s="73" t="s">
        <v>229</v>
      </c>
    </row>
    <row r="1307" spans="1:5" x14ac:dyDescent="0.25">
      <c r="A1307" s="74" t="s">
        <v>1006</v>
      </c>
      <c r="B1307" s="75">
        <f>INSUMOS!B135</f>
        <v>310000</v>
      </c>
      <c r="C1307" s="103">
        <v>1</v>
      </c>
      <c r="D1307" s="75">
        <f>C1307*B1307</f>
        <v>310000</v>
      </c>
      <c r="E1307" s="102">
        <f>INSUMOS!E135</f>
        <v>24</v>
      </c>
    </row>
    <row r="1308" spans="1:5" x14ac:dyDescent="0.25">
      <c r="A1308" s="77" t="s">
        <v>658</v>
      </c>
      <c r="B1308" s="78">
        <f>INSUMOS!B5</f>
        <v>154000</v>
      </c>
      <c r="C1308" s="98">
        <v>0.15</v>
      </c>
      <c r="D1308" s="75">
        <f>C1308*B1308</f>
        <v>23100</v>
      </c>
      <c r="E1308" s="97">
        <f>C1308*INSUMOS!E5</f>
        <v>2.3865922265492139</v>
      </c>
    </row>
    <row r="1309" spans="1:5" x14ac:dyDescent="0.25">
      <c r="A1309" s="77" t="s">
        <v>659</v>
      </c>
      <c r="B1309" s="78">
        <f>INSUMOS!B297</f>
        <v>200000</v>
      </c>
      <c r="C1309" s="98">
        <v>1</v>
      </c>
      <c r="D1309" s="75">
        <f>C1309*B1309</f>
        <v>200000</v>
      </c>
      <c r="E1309" s="105" t="s">
        <v>232</v>
      </c>
    </row>
    <row r="1310" spans="1:5" x14ac:dyDescent="0.25">
      <c r="A1310" s="77" t="s">
        <v>1007</v>
      </c>
      <c r="B1310" s="78">
        <f>INSUMOS!B293</f>
        <v>300000</v>
      </c>
      <c r="C1310" s="98">
        <v>1</v>
      </c>
      <c r="D1310" s="75">
        <f>C1310*B1310</f>
        <v>300000</v>
      </c>
      <c r="E1310" s="105"/>
    </row>
    <row r="1311" spans="1:5" x14ac:dyDescent="0.25">
      <c r="A1311" s="77" t="s">
        <v>1008</v>
      </c>
      <c r="B1311" s="78">
        <f>INSUMOS!B307</f>
        <v>90000</v>
      </c>
      <c r="C1311" s="98">
        <v>1</v>
      </c>
      <c r="D1311" s="75">
        <f>C1311*B1311</f>
        <v>90000</v>
      </c>
      <c r="E1311" s="105"/>
    </row>
    <row r="1312" spans="1:5" x14ac:dyDescent="0.25">
      <c r="A1312" s="82"/>
      <c r="B1312" s="83"/>
      <c r="C1312" s="83" t="s">
        <v>122</v>
      </c>
      <c r="D1312" s="83">
        <f>SUM(D1307:D1311)</f>
        <v>923100</v>
      </c>
      <c r="E1312" s="100">
        <f>SUM(E1307:E1311)</f>
        <v>26.386592226549215</v>
      </c>
    </row>
    <row r="1314" spans="1:5" x14ac:dyDescent="0.25">
      <c r="A1314" s="279" t="s">
        <v>1022</v>
      </c>
      <c r="B1314" s="279"/>
      <c r="C1314" s="279"/>
      <c r="D1314" s="279"/>
      <c r="E1314" s="279"/>
    </row>
    <row r="1315" spans="1:5" x14ac:dyDescent="0.25">
      <c r="A1315" s="72" t="s">
        <v>92</v>
      </c>
      <c r="B1315" s="72" t="s">
        <v>226</v>
      </c>
      <c r="C1315" s="72" t="s">
        <v>227</v>
      </c>
      <c r="D1315" s="72" t="s">
        <v>228</v>
      </c>
      <c r="E1315" s="73" t="s">
        <v>229</v>
      </c>
    </row>
    <row r="1316" spans="1:5" x14ac:dyDescent="0.25">
      <c r="A1316" s="74" t="s">
        <v>720</v>
      </c>
      <c r="B1316" s="75">
        <f>INSUMOS!B150</f>
        <v>180000</v>
      </c>
      <c r="C1316" s="103">
        <v>1</v>
      </c>
      <c r="D1316" s="75">
        <f>C1316*B1316</f>
        <v>180000</v>
      </c>
      <c r="E1316" s="102">
        <f>INSUMOS!E150</f>
        <v>5.5</v>
      </c>
    </row>
    <row r="1317" spans="1:5" x14ac:dyDescent="0.25">
      <c r="A1317" s="77" t="s">
        <v>658</v>
      </c>
      <c r="B1317" s="78">
        <f>INSUMOS!B5</f>
        <v>154000</v>
      </c>
      <c r="C1317" s="98">
        <v>0.15</v>
      </c>
      <c r="D1317" s="75">
        <f>C1317*B1317</f>
        <v>23100</v>
      </c>
      <c r="E1317" s="97">
        <f>C1317*INSUMOS!E5</f>
        <v>2.3865922265492139</v>
      </c>
    </row>
    <row r="1318" spans="1:5" x14ac:dyDescent="0.25">
      <c r="A1318" s="77" t="s">
        <v>659</v>
      </c>
      <c r="B1318" s="78">
        <f>INSUMOS!B297</f>
        <v>200000</v>
      </c>
      <c r="C1318" s="98">
        <v>1</v>
      </c>
      <c r="D1318" s="75">
        <f>C1318*B1318</f>
        <v>200000</v>
      </c>
      <c r="E1318" s="105" t="s">
        <v>232</v>
      </c>
    </row>
    <row r="1319" spans="1:5" x14ac:dyDescent="0.25">
      <c r="A1319" s="77" t="s">
        <v>721</v>
      </c>
      <c r="B1319" s="78">
        <f>INSUMOS!B351</f>
        <v>200000</v>
      </c>
      <c r="C1319" s="98">
        <v>1</v>
      </c>
      <c r="D1319" s="75">
        <f>C1319*B1319</f>
        <v>200000</v>
      </c>
      <c r="E1319" s="105"/>
    </row>
    <row r="1320" spans="1:5" x14ac:dyDescent="0.25">
      <c r="A1320" s="77" t="s">
        <v>722</v>
      </c>
      <c r="B1320" s="78">
        <f>INSUMOS!B314</f>
        <v>60000</v>
      </c>
      <c r="C1320" s="98">
        <v>1</v>
      </c>
      <c r="D1320" s="75">
        <f>C1320*B1320</f>
        <v>60000</v>
      </c>
      <c r="E1320" s="105"/>
    </row>
    <row r="1321" spans="1:5" x14ac:dyDescent="0.25">
      <c r="A1321" s="82"/>
      <c r="B1321" s="83"/>
      <c r="C1321" s="83" t="s">
        <v>122</v>
      </c>
      <c r="D1321" s="83">
        <f>SUM(D1316:D1320)</f>
        <v>663100</v>
      </c>
      <c r="E1321" s="100">
        <f>SUM(E1316:E1320)</f>
        <v>7.8865922265492134</v>
      </c>
    </row>
    <row r="1323" spans="1:5" x14ac:dyDescent="0.25">
      <c r="A1323" s="279" t="s">
        <v>1023</v>
      </c>
      <c r="B1323" s="279"/>
      <c r="C1323" s="279"/>
      <c r="D1323" s="279"/>
      <c r="E1323" s="279"/>
    </row>
    <row r="1324" spans="1:5" x14ac:dyDescent="0.25">
      <c r="A1324" s="72" t="s">
        <v>92</v>
      </c>
      <c r="B1324" s="72" t="s">
        <v>226</v>
      </c>
      <c r="C1324" s="72" t="s">
        <v>227</v>
      </c>
      <c r="D1324" s="72" t="s">
        <v>228</v>
      </c>
      <c r="E1324" s="73" t="s">
        <v>229</v>
      </c>
    </row>
    <row r="1325" spans="1:5" x14ac:dyDescent="0.25">
      <c r="A1325" s="74" t="s">
        <v>1024</v>
      </c>
      <c r="B1325" s="75">
        <f>INSUMOS!B141</f>
        <v>299000</v>
      </c>
      <c r="C1325" s="103">
        <v>1</v>
      </c>
      <c r="D1325" s="75">
        <f>C1325*B1325</f>
        <v>299000</v>
      </c>
      <c r="E1325" s="102">
        <f>INSUMOS!E141</f>
        <v>8</v>
      </c>
    </row>
    <row r="1326" spans="1:5" x14ac:dyDescent="0.25">
      <c r="A1326" s="77" t="s">
        <v>1025</v>
      </c>
      <c r="B1326" s="78">
        <f>INSUMOS!B249</f>
        <v>360000</v>
      </c>
      <c r="C1326" s="98">
        <v>1</v>
      </c>
      <c r="D1326" s="75">
        <f>C1326*B1326</f>
        <v>360000</v>
      </c>
      <c r="E1326" s="97">
        <f>INSUMOS!E249</f>
        <v>8</v>
      </c>
    </row>
    <row r="1327" spans="1:5" x14ac:dyDescent="0.25">
      <c r="A1327" s="77" t="s">
        <v>698</v>
      </c>
      <c r="B1327" s="78">
        <f>INSUMOS!B291</f>
        <v>160000</v>
      </c>
      <c r="C1327" s="98">
        <v>1</v>
      </c>
      <c r="D1327" s="75">
        <f>C1327*B1327</f>
        <v>160000</v>
      </c>
      <c r="E1327" s="105" t="s">
        <v>232</v>
      </c>
    </row>
    <row r="1328" spans="1:5" x14ac:dyDescent="0.25">
      <c r="A1328" s="77" t="s">
        <v>699</v>
      </c>
      <c r="B1328" s="78">
        <f>INSUMOS!B305</f>
        <v>70000</v>
      </c>
      <c r="C1328" s="98">
        <v>1</v>
      </c>
      <c r="D1328" s="75">
        <f>C1328*B1328</f>
        <v>70000</v>
      </c>
      <c r="E1328" s="105"/>
    </row>
    <row r="1329" spans="1:5" x14ac:dyDescent="0.25">
      <c r="A1329" s="82"/>
      <c r="B1329" s="83"/>
      <c r="C1329" s="113" t="s">
        <v>122</v>
      </c>
      <c r="D1329" s="83">
        <f>SUM(D1325:D1328)</f>
        <v>889000</v>
      </c>
      <c r="E1329" s="100">
        <f>SUM(E1325:E1328)</f>
        <v>16</v>
      </c>
    </row>
    <row r="1331" spans="1:5" x14ac:dyDescent="0.25">
      <c r="A1331" s="279" t="s">
        <v>1026</v>
      </c>
      <c r="B1331" s="279"/>
      <c r="C1331" s="279"/>
      <c r="D1331" s="279"/>
      <c r="E1331" s="279"/>
    </row>
    <row r="1332" spans="1:5" x14ac:dyDescent="0.25">
      <c r="A1332" s="72" t="s">
        <v>92</v>
      </c>
      <c r="B1332" s="72" t="s">
        <v>226</v>
      </c>
      <c r="C1332" s="72" t="s">
        <v>227</v>
      </c>
      <c r="D1332" s="72" t="s">
        <v>228</v>
      </c>
      <c r="E1332" s="73" t="s">
        <v>229</v>
      </c>
    </row>
    <row r="1333" spans="1:5" x14ac:dyDescent="0.25">
      <c r="A1333" s="74" t="s">
        <v>905</v>
      </c>
      <c r="B1333" s="75">
        <f>INSUMOS!B167</f>
        <v>455000</v>
      </c>
      <c r="C1333" s="103">
        <v>1</v>
      </c>
      <c r="D1333" s="75">
        <f>C1333*B1333</f>
        <v>455000</v>
      </c>
      <c r="E1333" s="102">
        <f>INSUMOS!E167</f>
        <v>22.5</v>
      </c>
    </row>
    <row r="1334" spans="1:5" x14ac:dyDescent="0.25">
      <c r="A1334" s="77" t="s">
        <v>1027</v>
      </c>
      <c r="B1334" s="78">
        <f>INSUMOS!B215</f>
        <v>280000</v>
      </c>
      <c r="C1334" s="98">
        <v>1</v>
      </c>
      <c r="D1334" s="75">
        <f>C1334*B1334</f>
        <v>280000</v>
      </c>
      <c r="E1334" s="97">
        <f>INSUMOS!E215</f>
        <v>5</v>
      </c>
    </row>
    <row r="1335" spans="1:5" x14ac:dyDescent="0.25">
      <c r="A1335" s="77" t="s">
        <v>736</v>
      </c>
      <c r="B1335" s="78">
        <f>INSUMOS!B354</f>
        <v>530000</v>
      </c>
      <c r="C1335" s="98">
        <v>1</v>
      </c>
      <c r="D1335" s="75">
        <f>C1335*B1335</f>
        <v>530000</v>
      </c>
      <c r="E1335" s="105" t="s">
        <v>232</v>
      </c>
    </row>
    <row r="1336" spans="1:5" x14ac:dyDescent="0.25">
      <c r="A1336" s="77" t="s">
        <v>750</v>
      </c>
      <c r="B1336" s="78">
        <f>INSUMOS!B373</f>
        <v>180000</v>
      </c>
      <c r="C1336" s="98">
        <v>1</v>
      </c>
      <c r="D1336" s="75">
        <f>C1336*B1336</f>
        <v>180000</v>
      </c>
      <c r="E1336" s="105"/>
    </row>
    <row r="1337" spans="1:5" x14ac:dyDescent="0.25">
      <c r="A1337" s="77" t="s">
        <v>737</v>
      </c>
      <c r="B1337" s="78">
        <f>INSUMOS!B317</f>
        <v>100000</v>
      </c>
      <c r="C1337" s="98">
        <v>1</v>
      </c>
      <c r="D1337" s="75">
        <f>C1337*B1337</f>
        <v>100000</v>
      </c>
      <c r="E1337" s="105"/>
    </row>
    <row r="1338" spans="1:5" x14ac:dyDescent="0.25">
      <c r="A1338" s="82"/>
      <c r="B1338" s="83"/>
      <c r="C1338" s="83" t="s">
        <v>122</v>
      </c>
      <c r="D1338" s="83">
        <f>SUM(D1333:D1337)</f>
        <v>1545000</v>
      </c>
      <c r="E1338" s="100">
        <f>SUM(E1333:E1337)</f>
        <v>27.5</v>
      </c>
    </row>
    <row r="1340" spans="1:5" x14ac:dyDescent="0.25">
      <c r="A1340" s="279" t="s">
        <v>1028</v>
      </c>
      <c r="B1340" s="279"/>
      <c r="C1340" s="279"/>
      <c r="D1340" s="279"/>
      <c r="E1340" s="279"/>
    </row>
    <row r="1341" spans="1:5" x14ac:dyDescent="0.25">
      <c r="A1341" s="72" t="s">
        <v>92</v>
      </c>
      <c r="B1341" s="72" t="s">
        <v>226</v>
      </c>
      <c r="C1341" s="72" t="s">
        <v>227</v>
      </c>
      <c r="D1341" s="72" t="s">
        <v>228</v>
      </c>
      <c r="E1341" s="73" t="s">
        <v>229</v>
      </c>
    </row>
    <row r="1342" spans="1:5" x14ac:dyDescent="0.25">
      <c r="A1342" s="74" t="s">
        <v>679</v>
      </c>
      <c r="B1342" s="75">
        <f>INSUMOS!B163</f>
        <v>210000</v>
      </c>
      <c r="C1342" s="103">
        <v>1</v>
      </c>
      <c r="D1342" s="75">
        <f>C1342*B1342</f>
        <v>210000</v>
      </c>
      <c r="E1342" s="102">
        <f>INSUMOS!E163</f>
        <v>4.8</v>
      </c>
    </row>
    <row r="1343" spans="1:5" x14ac:dyDescent="0.25">
      <c r="A1343" s="77" t="s">
        <v>888</v>
      </c>
      <c r="B1343" s="78">
        <f>INSUMOS!B19</f>
        <v>461000</v>
      </c>
      <c r="C1343" s="98">
        <v>0.15</v>
      </c>
      <c r="D1343" s="75">
        <f>C1343*B1343</f>
        <v>69150</v>
      </c>
      <c r="E1343" s="97">
        <f>C1343*INSUMOS!E19</f>
        <v>5.3698325097357316</v>
      </c>
    </row>
    <row r="1344" spans="1:5" x14ac:dyDescent="0.25">
      <c r="A1344" s="77" t="s">
        <v>697</v>
      </c>
      <c r="B1344" s="78">
        <f>INSUMOS!B298</f>
        <v>250000</v>
      </c>
      <c r="C1344" s="98">
        <v>1</v>
      </c>
      <c r="D1344" s="75">
        <f>C1344*B1344</f>
        <v>250000</v>
      </c>
      <c r="E1344" s="105"/>
    </row>
    <row r="1345" spans="1:5" x14ac:dyDescent="0.25">
      <c r="A1345" s="77" t="s">
        <v>676</v>
      </c>
      <c r="B1345" s="78">
        <f>INSUMOS!B350</f>
        <v>150000</v>
      </c>
      <c r="C1345" s="98">
        <v>1</v>
      </c>
      <c r="D1345" s="75">
        <f>C1345*B1345</f>
        <v>150000</v>
      </c>
      <c r="E1345" s="105"/>
    </row>
    <row r="1346" spans="1:5" x14ac:dyDescent="0.25">
      <c r="A1346" s="77" t="s">
        <v>677</v>
      </c>
      <c r="B1346" s="78">
        <f>INSUMOS!B313</f>
        <v>50000</v>
      </c>
      <c r="C1346" s="98">
        <v>1</v>
      </c>
      <c r="D1346" s="75">
        <f>C1346*B1346</f>
        <v>50000</v>
      </c>
      <c r="E1346" s="105"/>
    </row>
    <row r="1347" spans="1:5" x14ac:dyDescent="0.25">
      <c r="A1347" s="82"/>
      <c r="B1347" s="83"/>
      <c r="C1347" s="83" t="s">
        <v>122</v>
      </c>
      <c r="D1347" s="83">
        <f>SUM(D1342:D1346)</f>
        <v>729150</v>
      </c>
      <c r="E1347" s="100">
        <f>SUM(E1342:E1346)</f>
        <v>10.16983250973573</v>
      </c>
    </row>
    <row r="1349" spans="1:5" x14ac:dyDescent="0.25">
      <c r="A1349" s="279" t="s">
        <v>1029</v>
      </c>
      <c r="B1349" s="279"/>
      <c r="C1349" s="279"/>
      <c r="D1349" s="279"/>
      <c r="E1349" s="279"/>
    </row>
    <row r="1350" spans="1:5" x14ac:dyDescent="0.25">
      <c r="A1350" s="72" t="s">
        <v>92</v>
      </c>
      <c r="B1350" s="72" t="s">
        <v>226</v>
      </c>
      <c r="C1350" s="72" t="s">
        <v>227</v>
      </c>
      <c r="D1350" s="72" t="s">
        <v>228</v>
      </c>
      <c r="E1350" s="73" t="s">
        <v>229</v>
      </c>
    </row>
    <row r="1351" spans="1:5" x14ac:dyDescent="0.25">
      <c r="A1351" s="74" t="s">
        <v>1030</v>
      </c>
      <c r="B1351" s="75">
        <f>INSUMOS!B140</f>
        <v>221000</v>
      </c>
      <c r="C1351" s="103">
        <v>1</v>
      </c>
      <c r="D1351" s="75">
        <f>C1351*B1351</f>
        <v>221000</v>
      </c>
      <c r="E1351" s="102">
        <f>INSUMOS!E140</f>
        <v>4.08</v>
      </c>
    </row>
    <row r="1352" spans="1:5" x14ac:dyDescent="0.25">
      <c r="A1352" s="77" t="s">
        <v>888</v>
      </c>
      <c r="B1352" s="78">
        <f>INSUMOS!B19</f>
        <v>461000</v>
      </c>
      <c r="C1352" s="98">
        <v>0.15</v>
      </c>
      <c r="D1352" s="75">
        <f>C1352*B1352</f>
        <v>69150</v>
      </c>
      <c r="E1352" s="97">
        <f>C1352*INSUMOS!E19</f>
        <v>5.3698325097357316</v>
      </c>
    </row>
    <row r="1353" spans="1:5" x14ac:dyDescent="0.25">
      <c r="A1353" s="77" t="s">
        <v>697</v>
      </c>
      <c r="B1353" s="78">
        <f>INSUMOS!B298</f>
        <v>250000</v>
      </c>
      <c r="C1353" s="98">
        <v>1</v>
      </c>
      <c r="D1353" s="75">
        <f>C1353*B1353</f>
        <v>250000</v>
      </c>
      <c r="E1353" s="105" t="s">
        <v>232</v>
      </c>
    </row>
    <row r="1354" spans="1:5" x14ac:dyDescent="0.25">
      <c r="A1354" s="77" t="s">
        <v>662</v>
      </c>
      <c r="B1354" s="78">
        <f>INSUMOS!B290</f>
        <v>130000</v>
      </c>
      <c r="C1354" s="98">
        <v>1</v>
      </c>
      <c r="D1354" s="75">
        <f>C1354*B1354</f>
        <v>130000</v>
      </c>
      <c r="E1354" s="105"/>
    </row>
    <row r="1355" spans="1:5" x14ac:dyDescent="0.25">
      <c r="A1355" s="77" t="s">
        <v>663</v>
      </c>
      <c r="B1355" s="78">
        <f>INSUMOS!B304</f>
        <v>60000</v>
      </c>
      <c r="C1355" s="98">
        <v>1</v>
      </c>
      <c r="D1355" s="75">
        <f>C1355*B1355</f>
        <v>60000</v>
      </c>
      <c r="E1355" s="105"/>
    </row>
    <row r="1356" spans="1:5" x14ac:dyDescent="0.25">
      <c r="A1356" s="82"/>
      <c r="B1356" s="83"/>
      <c r="C1356" s="83" t="s">
        <v>122</v>
      </c>
      <c r="D1356" s="83">
        <f>SUM(D1351:D1355)</f>
        <v>730150</v>
      </c>
      <c r="E1356" s="100">
        <f>SUM(E1351:E1355)</f>
        <v>9.4498325097357316</v>
      </c>
    </row>
    <row r="1358" spans="1:5" x14ac:dyDescent="0.25">
      <c r="A1358" s="279" t="s">
        <v>1031</v>
      </c>
      <c r="B1358" s="279"/>
      <c r="C1358" s="279"/>
      <c r="D1358" s="279"/>
      <c r="E1358" s="279"/>
    </row>
    <row r="1359" spans="1:5" x14ac:dyDescent="0.25">
      <c r="A1359" s="72" t="s">
        <v>92</v>
      </c>
      <c r="B1359" s="72" t="s">
        <v>226</v>
      </c>
      <c r="C1359" s="72" t="s">
        <v>227</v>
      </c>
      <c r="D1359" s="72" t="s">
        <v>228</v>
      </c>
      <c r="E1359" s="73" t="s">
        <v>229</v>
      </c>
    </row>
    <row r="1360" spans="1:5" x14ac:dyDescent="0.25">
      <c r="A1360" s="74" t="s">
        <v>1032</v>
      </c>
      <c r="B1360" s="75">
        <f>INSUMOS!B142</f>
        <v>338000</v>
      </c>
      <c r="C1360" s="103">
        <v>1</v>
      </c>
      <c r="D1360" s="75">
        <f>C1360*B1360</f>
        <v>338000</v>
      </c>
      <c r="E1360" s="102">
        <f>INSUMOS!E142</f>
        <v>12</v>
      </c>
    </row>
    <row r="1361" spans="1:5" x14ac:dyDescent="0.25">
      <c r="A1361" s="77" t="s">
        <v>1033</v>
      </c>
      <c r="B1361" s="78">
        <f>INSUMOS!B250</f>
        <v>410000</v>
      </c>
      <c r="C1361" s="98">
        <v>1</v>
      </c>
      <c r="D1361" s="75">
        <f>C1361*B1361</f>
        <v>410000</v>
      </c>
      <c r="E1361" s="97">
        <f>INSUMOS!E250</f>
        <v>12</v>
      </c>
    </row>
    <row r="1362" spans="1:5" x14ac:dyDescent="0.25">
      <c r="A1362" s="77" t="s">
        <v>702</v>
      </c>
      <c r="B1362" s="78">
        <f>INSUMOS!B292</f>
        <v>200000</v>
      </c>
      <c r="C1362" s="98">
        <v>1</v>
      </c>
      <c r="D1362" s="75">
        <f>C1362*B1362</f>
        <v>200000</v>
      </c>
      <c r="E1362" s="105" t="s">
        <v>232</v>
      </c>
    </row>
    <row r="1363" spans="1:5" x14ac:dyDescent="0.25">
      <c r="A1363" s="77" t="s">
        <v>703</v>
      </c>
      <c r="B1363" s="78">
        <f>INSUMOS!B306</f>
        <v>80000</v>
      </c>
      <c r="C1363" s="98">
        <v>1</v>
      </c>
      <c r="D1363" s="75">
        <f>C1363*B1363</f>
        <v>80000</v>
      </c>
      <c r="E1363" s="105"/>
    </row>
    <row r="1364" spans="1:5" x14ac:dyDescent="0.25">
      <c r="A1364" s="82"/>
      <c r="B1364" s="83"/>
      <c r="C1364" s="113" t="s">
        <v>122</v>
      </c>
      <c r="D1364" s="83">
        <f>SUM(D1360:D1363)</f>
        <v>1028000</v>
      </c>
      <c r="E1364" s="100">
        <f>SUM(E1360:E1363)</f>
        <v>24</v>
      </c>
    </row>
    <row r="1366" spans="1:5" x14ac:dyDescent="0.25">
      <c r="A1366" s="279" t="s">
        <v>1034</v>
      </c>
      <c r="B1366" s="279"/>
      <c r="C1366" s="279"/>
      <c r="D1366" s="279"/>
      <c r="E1366" s="279"/>
    </row>
    <row r="1367" spans="1:5" x14ac:dyDescent="0.25">
      <c r="A1367" s="72" t="s">
        <v>92</v>
      </c>
      <c r="B1367" s="72" t="s">
        <v>226</v>
      </c>
      <c r="C1367" s="72" t="s">
        <v>227</v>
      </c>
      <c r="D1367" s="72" t="s">
        <v>228</v>
      </c>
      <c r="E1367" s="73" t="s">
        <v>229</v>
      </c>
    </row>
    <row r="1368" spans="1:5" x14ac:dyDescent="0.25">
      <c r="A1368" s="74" t="s">
        <v>931</v>
      </c>
      <c r="B1368" s="75">
        <f>INSUMOS!B131</f>
        <v>150000</v>
      </c>
      <c r="C1368" s="103">
        <v>1</v>
      </c>
      <c r="D1368" s="75">
        <f>C1368*B1368</f>
        <v>150000</v>
      </c>
      <c r="E1368" s="102">
        <f>INSUMOS!E131</f>
        <v>4</v>
      </c>
    </row>
    <row r="1369" spans="1:5" x14ac:dyDescent="0.25">
      <c r="A1369" s="77" t="s">
        <v>658</v>
      </c>
      <c r="B1369" s="78">
        <f>INSUMOS!B5</f>
        <v>154000</v>
      </c>
      <c r="C1369" s="98">
        <v>0.15</v>
      </c>
      <c r="D1369" s="75">
        <f>C1369*B1369</f>
        <v>23100</v>
      </c>
      <c r="E1369" s="97">
        <f>C1369*INSUMOS!E5</f>
        <v>2.3865922265492139</v>
      </c>
    </row>
    <row r="1370" spans="1:5" x14ac:dyDescent="0.25">
      <c r="A1370" s="77" t="s">
        <v>659</v>
      </c>
      <c r="B1370" s="78">
        <f>INSUMOS!B297</f>
        <v>200000</v>
      </c>
      <c r="C1370" s="98">
        <v>1</v>
      </c>
      <c r="D1370" s="75">
        <f>C1370*B1370</f>
        <v>200000</v>
      </c>
      <c r="E1370" s="112"/>
    </row>
    <row r="1371" spans="1:5" x14ac:dyDescent="0.25">
      <c r="A1371" s="77" t="s">
        <v>672</v>
      </c>
      <c r="B1371" s="78">
        <f>INSUMOS!B289</f>
        <v>100000</v>
      </c>
      <c r="C1371" s="98">
        <v>1</v>
      </c>
      <c r="D1371" s="75">
        <f>C1371*B1371</f>
        <v>100000</v>
      </c>
      <c r="E1371" s="105"/>
    </row>
    <row r="1372" spans="1:5" x14ac:dyDescent="0.25">
      <c r="A1372" s="77" t="s">
        <v>673</v>
      </c>
      <c r="B1372" s="78">
        <f>INSUMOS!B303</f>
        <v>50000</v>
      </c>
      <c r="C1372" s="98">
        <v>1</v>
      </c>
      <c r="D1372" s="75">
        <f>C1372*B1372</f>
        <v>50000</v>
      </c>
      <c r="E1372" s="105"/>
    </row>
    <row r="1373" spans="1:5" x14ac:dyDescent="0.25">
      <c r="A1373" s="82"/>
      <c r="B1373" s="83"/>
      <c r="C1373" s="83" t="s">
        <v>122</v>
      </c>
      <c r="D1373" s="83">
        <f>SUM(D1368:D1372)</f>
        <v>523100</v>
      </c>
      <c r="E1373" s="100">
        <f>SUM(E1368:E1372)</f>
        <v>6.3865922265492134</v>
      </c>
    </row>
    <row r="1375" spans="1:5" x14ac:dyDescent="0.25">
      <c r="A1375" s="279" t="s">
        <v>1035</v>
      </c>
      <c r="B1375" s="279"/>
      <c r="C1375" s="279"/>
      <c r="D1375" s="279"/>
      <c r="E1375" s="279"/>
    </row>
    <row r="1376" spans="1:5" x14ac:dyDescent="0.25">
      <c r="A1376" s="72" t="s">
        <v>92</v>
      </c>
      <c r="B1376" s="72" t="s">
        <v>93</v>
      </c>
      <c r="C1376" s="72" t="s">
        <v>227</v>
      </c>
      <c r="D1376" s="72" t="s">
        <v>228</v>
      </c>
      <c r="E1376" s="114" t="s">
        <v>229</v>
      </c>
    </row>
    <row r="1377" spans="1:5" x14ac:dyDescent="0.25">
      <c r="A1377" s="74" t="s">
        <v>989</v>
      </c>
      <c r="B1377" s="75">
        <f>INSUMOS!B178</f>
        <v>708333.33333333337</v>
      </c>
      <c r="C1377" s="103">
        <v>1</v>
      </c>
      <c r="D1377" s="75">
        <f t="shared" ref="D1377:D1382" si="30">C1377*B1377</f>
        <v>708333.33333333337</v>
      </c>
      <c r="E1377" s="102">
        <f>INSUMOS!E178</f>
        <v>35</v>
      </c>
    </row>
    <row r="1378" spans="1:5" x14ac:dyDescent="0.25">
      <c r="A1378" s="77" t="s">
        <v>968</v>
      </c>
      <c r="B1378" s="78">
        <f>INSUMOS!B224</f>
        <v>280000</v>
      </c>
      <c r="C1378" s="98">
        <v>1</v>
      </c>
      <c r="D1378" s="75">
        <f t="shared" si="30"/>
        <v>280000</v>
      </c>
      <c r="E1378" s="97">
        <f>INSUMOS!E224</f>
        <v>10</v>
      </c>
    </row>
    <row r="1379" spans="1:5" x14ac:dyDescent="0.25">
      <c r="A1379" s="77" t="s">
        <v>1036</v>
      </c>
      <c r="B1379" s="78">
        <f>INSUMOS!B406</f>
        <v>120000</v>
      </c>
      <c r="C1379" s="98">
        <v>1</v>
      </c>
      <c r="D1379" s="75">
        <f t="shared" si="30"/>
        <v>120000</v>
      </c>
      <c r="E1379" s="97"/>
    </row>
    <row r="1380" spans="1:5" x14ac:dyDescent="0.25">
      <c r="A1380" s="77" t="s">
        <v>798</v>
      </c>
      <c r="B1380" s="78">
        <f>INSUMOS!B368</f>
        <v>550000</v>
      </c>
      <c r="C1380" s="98">
        <v>1</v>
      </c>
      <c r="D1380" s="75">
        <f t="shared" si="30"/>
        <v>550000</v>
      </c>
      <c r="E1380" s="105" t="s">
        <v>232</v>
      </c>
    </row>
    <row r="1381" spans="1:5" x14ac:dyDescent="0.25">
      <c r="A1381" s="77" t="s">
        <v>799</v>
      </c>
      <c r="B1381" s="78">
        <f>INSUMOS!B388</f>
        <v>50000</v>
      </c>
      <c r="C1381" s="98">
        <v>1</v>
      </c>
      <c r="D1381" s="75">
        <f t="shared" si="30"/>
        <v>50000</v>
      </c>
      <c r="E1381" s="105"/>
    </row>
    <row r="1382" spans="1:5" x14ac:dyDescent="0.25">
      <c r="A1382" s="77" t="s">
        <v>800</v>
      </c>
      <c r="B1382" s="78">
        <f>INSUMOS!B342</f>
        <v>160000</v>
      </c>
      <c r="C1382" s="98">
        <v>1</v>
      </c>
      <c r="D1382" s="75">
        <f t="shared" si="30"/>
        <v>160000</v>
      </c>
      <c r="E1382" s="105"/>
    </row>
    <row r="1383" spans="1:5" x14ac:dyDescent="0.25">
      <c r="A1383" s="82"/>
      <c r="B1383" s="83"/>
      <c r="C1383" s="83" t="s">
        <v>122</v>
      </c>
      <c r="D1383" s="83">
        <f>SUM(D1377:D1382)</f>
        <v>1868333.3333333335</v>
      </c>
      <c r="E1383" s="100">
        <f>SUM(E1377:E1382)</f>
        <v>45</v>
      </c>
    </row>
    <row r="1385" spans="1:5" x14ac:dyDescent="0.25">
      <c r="A1385" s="279" t="s">
        <v>1037</v>
      </c>
      <c r="B1385" s="279"/>
      <c r="C1385" s="279"/>
      <c r="D1385" s="279"/>
      <c r="E1385" s="279"/>
    </row>
    <row r="1386" spans="1:5" x14ac:dyDescent="0.25">
      <c r="A1386" s="72" t="s">
        <v>92</v>
      </c>
      <c r="B1386" s="72" t="s">
        <v>226</v>
      </c>
      <c r="C1386" s="72" t="s">
        <v>227</v>
      </c>
      <c r="D1386" s="72" t="s">
        <v>228</v>
      </c>
      <c r="E1386" s="73" t="s">
        <v>229</v>
      </c>
    </row>
    <row r="1387" spans="1:5" x14ac:dyDescent="0.25">
      <c r="A1387" s="74" t="s">
        <v>865</v>
      </c>
      <c r="B1387" s="75">
        <f>INSUMOS!B166</f>
        <v>322000</v>
      </c>
      <c r="C1387" s="103">
        <v>1</v>
      </c>
      <c r="D1387" s="75">
        <f>C1387*B1387</f>
        <v>322000</v>
      </c>
      <c r="E1387" s="102">
        <f>INSUMOS!E1382</f>
        <v>0</v>
      </c>
    </row>
    <row r="1388" spans="1:5" x14ac:dyDescent="0.25">
      <c r="A1388" s="77" t="s">
        <v>1038</v>
      </c>
      <c r="B1388" s="78">
        <f>INSUMOS!B210</f>
        <v>325000</v>
      </c>
      <c r="C1388" s="98">
        <v>1</v>
      </c>
      <c r="D1388" s="75">
        <f>C1388*B1388</f>
        <v>325000</v>
      </c>
      <c r="E1388" s="97">
        <f>INSUMOS!E1427</f>
        <v>0</v>
      </c>
    </row>
    <row r="1389" spans="1:5" x14ac:dyDescent="0.25">
      <c r="A1389" s="77" t="s">
        <v>731</v>
      </c>
      <c r="B1389" s="78">
        <f>INSUMOS!B353</f>
        <v>250000</v>
      </c>
      <c r="C1389" s="98">
        <v>1</v>
      </c>
      <c r="D1389" s="75">
        <f>C1389*B1389</f>
        <v>250000</v>
      </c>
      <c r="E1389" s="105" t="s">
        <v>232</v>
      </c>
    </row>
    <row r="1390" spans="1:5" x14ac:dyDescent="0.25">
      <c r="A1390" s="77" t="s">
        <v>732</v>
      </c>
      <c r="B1390" s="78">
        <f>INSUMOS!B316</f>
        <v>80000</v>
      </c>
      <c r="C1390" s="98">
        <v>1</v>
      </c>
      <c r="D1390" s="75">
        <f>C1390*B1390</f>
        <v>80000</v>
      </c>
      <c r="E1390" s="105"/>
    </row>
    <row r="1391" spans="1:5" x14ac:dyDescent="0.25">
      <c r="A1391" s="82"/>
      <c r="B1391" s="83"/>
      <c r="C1391" s="113" t="s">
        <v>122</v>
      </c>
      <c r="D1391" s="83">
        <f>SUM(D1387:D1390)</f>
        <v>977000</v>
      </c>
      <c r="E1391" s="100">
        <f>SUM(E1387:E1390)</f>
        <v>0</v>
      </c>
    </row>
    <row r="1393" spans="1:5" x14ac:dyDescent="0.25">
      <c r="A1393" s="279" t="s">
        <v>1039</v>
      </c>
      <c r="B1393" s="279"/>
      <c r="C1393" s="279"/>
      <c r="D1393" s="279"/>
      <c r="E1393" s="279"/>
    </row>
    <row r="1394" spans="1:5" x14ac:dyDescent="0.25">
      <c r="A1394" s="72" t="s">
        <v>92</v>
      </c>
      <c r="B1394" s="72" t="s">
        <v>93</v>
      </c>
      <c r="C1394" s="72" t="s">
        <v>227</v>
      </c>
      <c r="D1394" s="72" t="s">
        <v>228</v>
      </c>
      <c r="E1394" s="73" t="s">
        <v>229</v>
      </c>
    </row>
    <row r="1395" spans="1:5" x14ac:dyDescent="0.25">
      <c r="A1395" s="74" t="s">
        <v>856</v>
      </c>
      <c r="B1395" s="75">
        <f>INSUMOS!B156</f>
        <v>1300000</v>
      </c>
      <c r="C1395" s="103">
        <v>1</v>
      </c>
      <c r="D1395" s="75">
        <f t="shared" ref="D1395:D1400" si="31">C1395*B1395</f>
        <v>1300000</v>
      </c>
      <c r="E1395" s="102">
        <f>INSUMOS!E156</f>
        <v>42</v>
      </c>
    </row>
    <row r="1396" spans="1:5" x14ac:dyDescent="0.25">
      <c r="A1396" s="77" t="s">
        <v>860</v>
      </c>
      <c r="B1396" s="78">
        <f>INSUMOS!B209</f>
        <v>280000</v>
      </c>
      <c r="C1396" s="98">
        <v>1</v>
      </c>
      <c r="D1396" s="75">
        <f t="shared" si="31"/>
        <v>280000</v>
      </c>
      <c r="E1396" s="97">
        <f>INSUMOS!E209</f>
        <v>6</v>
      </c>
    </row>
    <row r="1397" spans="1:5" x14ac:dyDescent="0.25">
      <c r="A1397" s="77" t="s">
        <v>1040</v>
      </c>
      <c r="B1397" s="78">
        <f>INSUMOS!B398</f>
        <v>75000</v>
      </c>
      <c r="C1397" s="98">
        <v>1</v>
      </c>
      <c r="D1397" s="75">
        <f t="shared" si="31"/>
        <v>75000</v>
      </c>
      <c r="E1397" s="97"/>
    </row>
    <row r="1398" spans="1:5" x14ac:dyDescent="0.25">
      <c r="A1398" s="77" t="s">
        <v>789</v>
      </c>
      <c r="B1398" s="78">
        <f>INSUMOS!B357</f>
        <v>680000</v>
      </c>
      <c r="C1398" s="98">
        <v>1</v>
      </c>
      <c r="D1398" s="75">
        <f t="shared" si="31"/>
        <v>680000</v>
      </c>
      <c r="E1398" s="105" t="s">
        <v>232</v>
      </c>
    </row>
    <row r="1399" spans="1:5" x14ac:dyDescent="0.25">
      <c r="A1399" s="77" t="s">
        <v>790</v>
      </c>
      <c r="B1399" s="78">
        <f>INSUMOS!B376</f>
        <v>480000</v>
      </c>
      <c r="C1399" s="98">
        <v>1</v>
      </c>
      <c r="D1399" s="75">
        <f t="shared" si="31"/>
        <v>480000</v>
      </c>
      <c r="E1399" s="105"/>
    </row>
    <row r="1400" spans="1:5" x14ac:dyDescent="0.25">
      <c r="A1400" s="77" t="s">
        <v>791</v>
      </c>
      <c r="B1400" s="78">
        <f>INSUMOS!B320</f>
        <v>180000</v>
      </c>
      <c r="C1400" s="98">
        <v>1</v>
      </c>
      <c r="D1400" s="75">
        <f t="shared" si="31"/>
        <v>180000</v>
      </c>
      <c r="E1400" s="105"/>
    </row>
    <row r="1401" spans="1:5" x14ac:dyDescent="0.25">
      <c r="A1401" s="82"/>
      <c r="B1401" s="83"/>
      <c r="C1401" s="83" t="s">
        <v>122</v>
      </c>
      <c r="D1401" s="83">
        <f>SUM(D1395:D1400)</f>
        <v>2995000</v>
      </c>
      <c r="E1401" s="100">
        <f>SUM(E1395:E1400)</f>
        <v>48</v>
      </c>
    </row>
    <row r="1403" spans="1:5" x14ac:dyDescent="0.25">
      <c r="A1403" s="279" t="s">
        <v>1041</v>
      </c>
      <c r="B1403" s="279"/>
      <c r="C1403" s="279"/>
      <c r="D1403" s="279"/>
      <c r="E1403" s="279"/>
    </row>
    <row r="1404" spans="1:5" x14ac:dyDescent="0.25">
      <c r="A1404" s="72" t="s">
        <v>92</v>
      </c>
      <c r="B1404" s="72" t="s">
        <v>93</v>
      </c>
      <c r="C1404" s="72" t="s">
        <v>227</v>
      </c>
      <c r="D1404" s="72" t="s">
        <v>228</v>
      </c>
      <c r="E1404" s="114" t="s">
        <v>229</v>
      </c>
    </row>
    <row r="1405" spans="1:5" x14ac:dyDescent="0.25">
      <c r="A1405" s="74" t="s">
        <v>1042</v>
      </c>
      <c r="B1405" s="75">
        <f>INSUMOS!B174</f>
        <v>335000</v>
      </c>
      <c r="C1405" s="103">
        <v>1</v>
      </c>
      <c r="D1405" s="75">
        <f>C1405*B1405</f>
        <v>335000</v>
      </c>
      <c r="E1405" s="102">
        <f>INSUMOS!E174</f>
        <v>7.333333333333333</v>
      </c>
    </row>
    <row r="1406" spans="1:5" x14ac:dyDescent="0.25">
      <c r="A1406" s="77" t="s">
        <v>876</v>
      </c>
      <c r="B1406" s="78">
        <f>INSUMOS!B223</f>
        <v>230000</v>
      </c>
      <c r="C1406" s="98">
        <v>1</v>
      </c>
      <c r="D1406" s="75">
        <f>C1406*B1406</f>
        <v>230000</v>
      </c>
      <c r="E1406" s="97">
        <f>INSUMOS!E224</f>
        <v>10</v>
      </c>
    </row>
    <row r="1407" spans="1:5" x14ac:dyDescent="0.25">
      <c r="A1407" s="77" t="s">
        <v>1043</v>
      </c>
      <c r="B1407" s="78">
        <f>INSUMOS!B364</f>
        <v>310000</v>
      </c>
      <c r="C1407" s="98">
        <v>1</v>
      </c>
      <c r="D1407" s="75">
        <f>C1407*B1407</f>
        <v>310000</v>
      </c>
      <c r="E1407" s="105" t="s">
        <v>232</v>
      </c>
    </row>
    <row r="1408" spans="1:5" x14ac:dyDescent="0.25">
      <c r="A1408" s="77" t="s">
        <v>1044</v>
      </c>
      <c r="B1408" s="78">
        <f>INSUMOS!B385</f>
        <v>50000</v>
      </c>
      <c r="C1408" s="98">
        <v>1</v>
      </c>
      <c r="D1408" s="75">
        <f>C1408*B1408</f>
        <v>50000</v>
      </c>
      <c r="E1408" s="105"/>
    </row>
    <row r="1409" spans="1:5" x14ac:dyDescent="0.25">
      <c r="A1409" s="77" t="s">
        <v>1045</v>
      </c>
      <c r="B1409" s="78">
        <f>INSUMOS!B338</f>
        <v>80000</v>
      </c>
      <c r="C1409" s="98">
        <v>1</v>
      </c>
      <c r="D1409" s="75">
        <f>C1409*B1409</f>
        <v>80000</v>
      </c>
      <c r="E1409" s="105"/>
    </row>
    <row r="1410" spans="1:5" x14ac:dyDescent="0.25">
      <c r="A1410" s="82"/>
      <c r="B1410" s="83"/>
      <c r="C1410" s="83" t="s">
        <v>122</v>
      </c>
      <c r="D1410" s="83">
        <f>SUM(D1405:D1409)</f>
        <v>1005000</v>
      </c>
      <c r="E1410" s="100">
        <f>SUM(E1405:E1409)</f>
        <v>17.333333333333332</v>
      </c>
    </row>
    <row r="1412" spans="1:5" x14ac:dyDescent="0.25">
      <c r="A1412" s="279" t="s">
        <v>1046</v>
      </c>
      <c r="B1412" s="279"/>
      <c r="C1412" s="279"/>
      <c r="D1412" s="279"/>
      <c r="E1412" s="279"/>
    </row>
    <row r="1413" spans="1:5" x14ac:dyDescent="0.25">
      <c r="A1413" s="72" t="s">
        <v>92</v>
      </c>
      <c r="B1413" s="72" t="s">
        <v>226</v>
      </c>
      <c r="C1413" s="72" t="s">
        <v>227</v>
      </c>
      <c r="D1413" s="72" t="s">
        <v>228</v>
      </c>
      <c r="E1413" s="73" t="s">
        <v>229</v>
      </c>
    </row>
    <row r="1414" spans="1:5" x14ac:dyDescent="0.25">
      <c r="A1414" s="74" t="s">
        <v>865</v>
      </c>
      <c r="B1414" s="75">
        <f>INSUMOS!B152</f>
        <v>230000</v>
      </c>
      <c r="C1414" s="103">
        <v>1</v>
      </c>
      <c r="D1414" s="75">
        <f>C1414*B1414</f>
        <v>230000</v>
      </c>
      <c r="E1414" s="102">
        <f>INSUMOS!E152</f>
        <v>11.3</v>
      </c>
    </row>
    <row r="1415" spans="1:5" x14ac:dyDescent="0.25">
      <c r="A1415" s="77" t="s">
        <v>1047</v>
      </c>
      <c r="B1415" s="78">
        <f>INSUMOS!B209</f>
        <v>280000</v>
      </c>
      <c r="C1415" s="98">
        <v>1</v>
      </c>
      <c r="D1415" s="75">
        <f>C1415*B1415</f>
        <v>280000</v>
      </c>
      <c r="E1415" s="97">
        <f>INSUMOS!E209</f>
        <v>6</v>
      </c>
    </row>
    <row r="1416" spans="1:5" x14ac:dyDescent="0.25">
      <c r="A1416" s="77" t="s">
        <v>731</v>
      </c>
      <c r="B1416" s="78">
        <f>INSUMOS!B353</f>
        <v>250000</v>
      </c>
      <c r="C1416" s="98">
        <v>1</v>
      </c>
      <c r="D1416" s="75">
        <f>C1416*B1416</f>
        <v>250000</v>
      </c>
      <c r="E1416" s="105" t="s">
        <v>232</v>
      </c>
    </row>
    <row r="1417" spans="1:5" x14ac:dyDescent="0.25">
      <c r="A1417" s="77" t="s">
        <v>732</v>
      </c>
      <c r="B1417" s="78">
        <f>INSUMOS!B316</f>
        <v>80000</v>
      </c>
      <c r="C1417" s="98">
        <v>1</v>
      </c>
      <c r="D1417" s="75">
        <f>C1417*B1417</f>
        <v>80000</v>
      </c>
      <c r="E1417" s="105"/>
    </row>
    <row r="1418" spans="1:5" x14ac:dyDescent="0.25">
      <c r="A1418" s="77" t="s">
        <v>914</v>
      </c>
      <c r="B1418" s="78">
        <f>INSUMOS!B393</f>
        <v>80000</v>
      </c>
      <c r="C1418" s="98">
        <v>1</v>
      </c>
      <c r="D1418" s="75">
        <f>C1418*B1418</f>
        <v>80000</v>
      </c>
      <c r="E1418" s="105"/>
    </row>
    <row r="1419" spans="1:5" x14ac:dyDescent="0.25">
      <c r="A1419" s="82"/>
      <c r="B1419" s="83"/>
      <c r="C1419" s="113" t="s">
        <v>122</v>
      </c>
      <c r="D1419" s="83">
        <f>SUM(D1414:D1418)</f>
        <v>920000</v>
      </c>
      <c r="E1419" s="100">
        <f>SUM(E1414:E1417)</f>
        <v>17.3</v>
      </c>
    </row>
    <row r="1421" spans="1:5" x14ac:dyDescent="0.25">
      <c r="A1421" s="279" t="s">
        <v>1048</v>
      </c>
      <c r="B1421" s="279"/>
      <c r="C1421" s="279"/>
      <c r="D1421" s="279"/>
      <c r="E1421" s="279"/>
    </row>
    <row r="1422" spans="1:5" x14ac:dyDescent="0.25">
      <c r="A1422" s="72" t="s">
        <v>92</v>
      </c>
      <c r="B1422" s="72" t="s">
        <v>226</v>
      </c>
      <c r="C1422" s="72" t="s">
        <v>227</v>
      </c>
      <c r="D1422" s="72" t="s">
        <v>228</v>
      </c>
      <c r="E1422" s="73" t="s">
        <v>229</v>
      </c>
    </row>
    <row r="1423" spans="1:5" x14ac:dyDescent="0.25">
      <c r="A1423" s="74" t="s">
        <v>865</v>
      </c>
      <c r="B1423" s="75">
        <f>INSUMOS!B152</f>
        <v>230000</v>
      </c>
      <c r="C1423" s="103">
        <v>1</v>
      </c>
      <c r="D1423" s="75">
        <f t="shared" ref="D1423:D1428" si="32">C1423*B1423</f>
        <v>230000</v>
      </c>
      <c r="E1423" s="102">
        <f>INSUMOS!E152</f>
        <v>11.3</v>
      </c>
    </row>
    <row r="1424" spans="1:5" x14ac:dyDescent="0.25">
      <c r="A1424" s="77" t="s">
        <v>1049</v>
      </c>
      <c r="B1424" s="78">
        <f>INSUMOS!B212</f>
        <v>550000</v>
      </c>
      <c r="C1424" s="98">
        <v>1</v>
      </c>
      <c r="D1424" s="75">
        <f t="shared" si="32"/>
        <v>550000</v>
      </c>
      <c r="E1424" s="97">
        <f>INSUMOS!E212</f>
        <v>13</v>
      </c>
    </row>
    <row r="1425" spans="1:5" x14ac:dyDescent="0.25">
      <c r="A1425" s="77" t="s">
        <v>1050</v>
      </c>
      <c r="B1425" s="78">
        <f>INSUMOS!B400</f>
        <v>170000</v>
      </c>
      <c r="C1425" s="98">
        <v>1</v>
      </c>
      <c r="D1425" s="75">
        <f t="shared" si="32"/>
        <v>170000</v>
      </c>
      <c r="E1425" s="97"/>
    </row>
    <row r="1426" spans="1:5" x14ac:dyDescent="0.25">
      <c r="A1426" s="77" t="s">
        <v>731</v>
      </c>
      <c r="B1426" s="78">
        <f>INSUMOS!B353</f>
        <v>250000</v>
      </c>
      <c r="C1426" s="98">
        <v>1</v>
      </c>
      <c r="D1426" s="75">
        <f t="shared" si="32"/>
        <v>250000</v>
      </c>
      <c r="E1426" s="105" t="s">
        <v>232</v>
      </c>
    </row>
    <row r="1427" spans="1:5" x14ac:dyDescent="0.25">
      <c r="A1427" s="77" t="s">
        <v>732</v>
      </c>
      <c r="B1427" s="78">
        <f>INSUMOS!B316</f>
        <v>80000</v>
      </c>
      <c r="C1427" s="98">
        <v>1</v>
      </c>
      <c r="D1427" s="75">
        <f t="shared" si="32"/>
        <v>80000</v>
      </c>
      <c r="E1427" s="105"/>
    </row>
    <row r="1428" spans="1:5" x14ac:dyDescent="0.25">
      <c r="A1428" s="77" t="s">
        <v>914</v>
      </c>
      <c r="B1428" s="78">
        <f>INSUMOS!B393</f>
        <v>80000</v>
      </c>
      <c r="C1428" s="98">
        <v>1</v>
      </c>
      <c r="D1428" s="75">
        <f t="shared" si="32"/>
        <v>80000</v>
      </c>
      <c r="E1428" s="105"/>
    </row>
    <row r="1429" spans="1:5" x14ac:dyDescent="0.25">
      <c r="A1429" s="82"/>
      <c r="B1429" s="83"/>
      <c r="C1429" s="113" t="s">
        <v>122</v>
      </c>
      <c r="D1429" s="83">
        <f>SUM(D1423:D1428)</f>
        <v>1360000</v>
      </c>
      <c r="E1429" s="100">
        <f>SUM(E1423:E1427)</f>
        <v>24.3</v>
      </c>
    </row>
    <row r="1431" spans="1:5" x14ac:dyDescent="0.25">
      <c r="A1431" s="279" t="s">
        <v>1051</v>
      </c>
      <c r="B1431" s="279"/>
      <c r="C1431" s="279"/>
      <c r="D1431" s="279"/>
      <c r="E1431" s="279"/>
    </row>
    <row r="1432" spans="1:5" x14ac:dyDescent="0.25">
      <c r="A1432" s="72" t="s">
        <v>92</v>
      </c>
      <c r="B1432" s="72" t="s">
        <v>226</v>
      </c>
      <c r="C1432" s="72" t="s">
        <v>227</v>
      </c>
      <c r="D1432" s="72" t="s">
        <v>228</v>
      </c>
      <c r="E1432" s="73" t="s">
        <v>229</v>
      </c>
    </row>
    <row r="1433" spans="1:5" x14ac:dyDescent="0.25">
      <c r="A1433" s="74" t="s">
        <v>900</v>
      </c>
      <c r="B1433" s="75">
        <f>INSUMOS!B166</f>
        <v>322000</v>
      </c>
      <c r="C1433" s="103">
        <v>1</v>
      </c>
      <c r="D1433" s="75">
        <f t="shared" ref="D1433:D1438" si="33">C1433*B1433</f>
        <v>322000</v>
      </c>
      <c r="E1433" s="102">
        <f>INSUMOS!E166</f>
        <v>11.3</v>
      </c>
    </row>
    <row r="1434" spans="1:5" x14ac:dyDescent="0.25">
      <c r="A1434" s="77" t="s">
        <v>1052</v>
      </c>
      <c r="B1434" s="78">
        <f>INSUMOS!B218</f>
        <v>600000</v>
      </c>
      <c r="C1434" s="98">
        <v>1</v>
      </c>
      <c r="D1434" s="75">
        <f t="shared" si="33"/>
        <v>600000</v>
      </c>
      <c r="E1434" s="97">
        <f>INSUMOS!E218</f>
        <v>13</v>
      </c>
    </row>
    <row r="1435" spans="1:5" x14ac:dyDescent="0.25">
      <c r="A1435" s="77" t="s">
        <v>1050</v>
      </c>
      <c r="B1435" s="78">
        <f>INSUMOS!B400</f>
        <v>170000</v>
      </c>
      <c r="C1435" s="98">
        <v>1</v>
      </c>
      <c r="D1435" s="75">
        <f t="shared" si="33"/>
        <v>170000</v>
      </c>
      <c r="E1435" s="97"/>
    </row>
    <row r="1436" spans="1:5" x14ac:dyDescent="0.25">
      <c r="A1436" s="77" t="s">
        <v>731</v>
      </c>
      <c r="B1436" s="78">
        <f>INSUMOS!B353</f>
        <v>250000</v>
      </c>
      <c r="C1436" s="98">
        <v>1</v>
      </c>
      <c r="D1436" s="75">
        <f t="shared" si="33"/>
        <v>250000</v>
      </c>
      <c r="E1436" s="105" t="s">
        <v>232</v>
      </c>
    </row>
    <row r="1437" spans="1:5" x14ac:dyDescent="0.25">
      <c r="A1437" s="77" t="s">
        <v>732</v>
      </c>
      <c r="B1437" s="78">
        <f>INSUMOS!B316</f>
        <v>80000</v>
      </c>
      <c r="C1437" s="98">
        <v>1</v>
      </c>
      <c r="D1437" s="75">
        <f t="shared" si="33"/>
        <v>80000</v>
      </c>
      <c r="E1437" s="105"/>
    </row>
    <row r="1438" spans="1:5" x14ac:dyDescent="0.25">
      <c r="A1438" s="77" t="s">
        <v>914</v>
      </c>
      <c r="B1438" s="78">
        <f>INSUMOS!B393</f>
        <v>80000</v>
      </c>
      <c r="C1438" s="98">
        <v>1</v>
      </c>
      <c r="D1438" s="75">
        <f t="shared" si="33"/>
        <v>80000</v>
      </c>
      <c r="E1438" s="105"/>
    </row>
    <row r="1439" spans="1:5" x14ac:dyDescent="0.25">
      <c r="A1439" s="82"/>
      <c r="B1439" s="83"/>
      <c r="C1439" s="113" t="s">
        <v>122</v>
      </c>
      <c r="D1439" s="83">
        <f>SUM(D1433:D1438)</f>
        <v>1502000</v>
      </c>
      <c r="E1439" s="100">
        <f>SUM(E1433:E1437)</f>
        <v>24.3</v>
      </c>
    </row>
    <row r="1441" spans="1:5" x14ac:dyDescent="0.25">
      <c r="A1441" s="279" t="s">
        <v>1053</v>
      </c>
      <c r="B1441" s="279"/>
      <c r="C1441" s="279"/>
      <c r="D1441" s="279"/>
      <c r="E1441" s="279"/>
    </row>
    <row r="1442" spans="1:5" x14ac:dyDescent="0.25">
      <c r="A1442" s="72" t="s">
        <v>92</v>
      </c>
      <c r="B1442" s="72" t="s">
        <v>226</v>
      </c>
      <c r="C1442" s="72" t="s">
        <v>227</v>
      </c>
      <c r="D1442" s="72" t="s">
        <v>228</v>
      </c>
      <c r="E1442" s="73" t="s">
        <v>229</v>
      </c>
    </row>
    <row r="1443" spans="1:5" x14ac:dyDescent="0.25">
      <c r="A1443" s="74" t="s">
        <v>679</v>
      </c>
      <c r="B1443" s="75">
        <f>INSUMOS!B163</f>
        <v>210000</v>
      </c>
      <c r="C1443" s="103">
        <v>1</v>
      </c>
      <c r="D1443" s="75">
        <f>C1443*B1443</f>
        <v>210000</v>
      </c>
      <c r="E1443" s="102">
        <f>INSUMOS!E163</f>
        <v>4.8</v>
      </c>
    </row>
    <row r="1444" spans="1:5" x14ac:dyDescent="0.25">
      <c r="A1444" s="77" t="s">
        <v>888</v>
      </c>
      <c r="B1444" s="78">
        <f>INSUMOS!B19</f>
        <v>461000</v>
      </c>
      <c r="C1444" s="98">
        <v>0.15</v>
      </c>
      <c r="D1444" s="75">
        <f>B1444*C1444</f>
        <v>69150</v>
      </c>
      <c r="E1444" s="97">
        <f>C1444*INSUMOS!E19</f>
        <v>5.3698325097357316</v>
      </c>
    </row>
    <row r="1445" spans="1:5" x14ac:dyDescent="0.25">
      <c r="A1445" s="77" t="s">
        <v>697</v>
      </c>
      <c r="B1445" s="78">
        <f>INSUMOS!B298</f>
        <v>250000</v>
      </c>
      <c r="C1445" s="98">
        <v>1</v>
      </c>
      <c r="D1445" s="75">
        <f>C1445*B1445</f>
        <v>250000</v>
      </c>
      <c r="E1445" s="105" t="s">
        <v>232</v>
      </c>
    </row>
    <row r="1446" spans="1:5" x14ac:dyDescent="0.25">
      <c r="A1446" s="77" t="s">
        <v>676</v>
      </c>
      <c r="B1446" s="78">
        <f>INSUMOS!B350</f>
        <v>150000</v>
      </c>
      <c r="C1446" s="98">
        <v>1</v>
      </c>
      <c r="D1446" s="75">
        <f>C1446*B1446</f>
        <v>150000</v>
      </c>
      <c r="E1446" s="105"/>
    </row>
    <row r="1447" spans="1:5" x14ac:dyDescent="0.25">
      <c r="A1447" s="77" t="s">
        <v>677</v>
      </c>
      <c r="B1447" s="78">
        <f>INSUMOS!B313</f>
        <v>50000</v>
      </c>
      <c r="C1447" s="98">
        <v>1</v>
      </c>
      <c r="D1447" s="75">
        <f>C1447*B1447</f>
        <v>50000</v>
      </c>
      <c r="E1447" s="105"/>
    </row>
    <row r="1448" spans="1:5" x14ac:dyDescent="0.25">
      <c r="A1448" s="82"/>
      <c r="B1448" s="83"/>
      <c r="C1448" s="83" t="s">
        <v>122</v>
      </c>
      <c r="D1448" s="83">
        <f>SUM(D1443:D1447)</f>
        <v>729150</v>
      </c>
      <c r="E1448" s="100">
        <f>SUM(E1443:E1447)</f>
        <v>10.16983250973573</v>
      </c>
    </row>
    <row r="1450" spans="1:5" x14ac:dyDescent="0.25">
      <c r="A1450" s="279" t="s">
        <v>1054</v>
      </c>
      <c r="B1450" s="279"/>
      <c r="C1450" s="279"/>
      <c r="D1450" s="279"/>
      <c r="E1450" s="279"/>
    </row>
    <row r="1451" spans="1:5" x14ac:dyDescent="0.25">
      <c r="A1451" s="72" t="s">
        <v>92</v>
      </c>
      <c r="B1451" s="72" t="s">
        <v>226</v>
      </c>
      <c r="C1451" s="72" t="s">
        <v>227</v>
      </c>
      <c r="D1451" s="72" t="s">
        <v>228</v>
      </c>
      <c r="E1451" s="73" t="s">
        <v>229</v>
      </c>
    </row>
    <row r="1452" spans="1:5" x14ac:dyDescent="0.25">
      <c r="A1452" s="74" t="s">
        <v>1055</v>
      </c>
      <c r="B1452" s="75">
        <f>INSUMOS!B160</f>
        <v>133000</v>
      </c>
      <c r="C1452" s="103">
        <v>1</v>
      </c>
      <c r="D1452" s="75">
        <f>C1452*B1452</f>
        <v>133000</v>
      </c>
      <c r="E1452" s="102">
        <f>INSUMOS!E160</f>
        <v>0.9</v>
      </c>
    </row>
    <row r="1453" spans="1:5" x14ac:dyDescent="0.25">
      <c r="A1453" s="77" t="s">
        <v>814</v>
      </c>
      <c r="B1453" s="78">
        <f>INSUMOS!B15</f>
        <v>140000</v>
      </c>
      <c r="C1453" s="98">
        <v>0.15</v>
      </c>
      <c r="D1453" s="75">
        <f>C1453*B1453</f>
        <v>21000</v>
      </c>
      <c r="E1453" s="97">
        <f>C1453*INSUMOS!E15</f>
        <v>1.3424581274339329</v>
      </c>
    </row>
    <row r="1454" spans="1:5" x14ac:dyDescent="0.25">
      <c r="A1454" s="77" t="s">
        <v>650</v>
      </c>
      <c r="B1454" s="78">
        <f>INSUMOS!B296</f>
        <v>178200</v>
      </c>
      <c r="C1454" s="98">
        <v>1</v>
      </c>
      <c r="D1454" s="75">
        <f>C1454*B1454</f>
        <v>178200</v>
      </c>
      <c r="E1454" s="105" t="s">
        <v>232</v>
      </c>
    </row>
    <row r="1455" spans="1:5" x14ac:dyDescent="0.25">
      <c r="A1455" s="77" t="s">
        <v>712</v>
      </c>
      <c r="B1455" s="78">
        <f>INSUMOS!B347</f>
        <v>120000</v>
      </c>
      <c r="C1455" s="98">
        <v>1</v>
      </c>
      <c r="D1455" s="75">
        <f>C1455*B1455</f>
        <v>120000</v>
      </c>
      <c r="E1455" s="105"/>
    </row>
    <row r="1456" spans="1:5" x14ac:dyDescent="0.25">
      <c r="A1456" s="77" t="s">
        <v>713</v>
      </c>
      <c r="B1456" s="78">
        <f>INSUMOS!B310</f>
        <v>30000</v>
      </c>
      <c r="C1456" s="98">
        <v>1</v>
      </c>
      <c r="D1456" s="75">
        <f>C1456*B1456</f>
        <v>30000</v>
      </c>
      <c r="E1456" s="105"/>
    </row>
    <row r="1457" spans="1:5" x14ac:dyDescent="0.25">
      <c r="A1457" s="82"/>
      <c r="B1457" s="83"/>
      <c r="C1457" s="83" t="s">
        <v>122</v>
      </c>
      <c r="D1457" s="83">
        <f>SUM(D1452:D1456)</f>
        <v>482200</v>
      </c>
      <c r="E1457" s="100">
        <f>SUM(E1452:E1456)</f>
        <v>2.2424581274339328</v>
      </c>
    </row>
    <row r="1459" spans="1:5" x14ac:dyDescent="0.25">
      <c r="A1459" s="279" t="s">
        <v>1056</v>
      </c>
      <c r="B1459" s="279"/>
      <c r="C1459" s="279"/>
      <c r="D1459" s="279"/>
      <c r="E1459" s="279"/>
    </row>
    <row r="1460" spans="1:5" x14ac:dyDescent="0.25">
      <c r="A1460" s="72" t="s">
        <v>92</v>
      </c>
      <c r="B1460" s="72" t="s">
        <v>226</v>
      </c>
      <c r="C1460" s="72" t="s">
        <v>227</v>
      </c>
      <c r="D1460" s="72" t="s">
        <v>228</v>
      </c>
      <c r="E1460" s="73" t="s">
        <v>229</v>
      </c>
    </row>
    <row r="1461" spans="1:5" x14ac:dyDescent="0.25">
      <c r="A1461" s="74" t="s">
        <v>1057</v>
      </c>
      <c r="B1461" s="75">
        <f>INSUMOS!B137</f>
        <v>156000</v>
      </c>
      <c r="C1461" s="103">
        <v>1</v>
      </c>
      <c r="D1461" s="75">
        <f>C1461*B1461</f>
        <v>156000</v>
      </c>
      <c r="E1461" s="102">
        <f>INSUMOS!E137</f>
        <v>0.97</v>
      </c>
    </row>
    <row r="1462" spans="1:5" x14ac:dyDescent="0.25">
      <c r="A1462" s="77" t="s">
        <v>814</v>
      </c>
      <c r="B1462" s="78">
        <f>INSUMOS!B15</f>
        <v>140000</v>
      </c>
      <c r="C1462" s="98">
        <v>0.15</v>
      </c>
      <c r="D1462" s="75">
        <f>C1462*B1462</f>
        <v>21000</v>
      </c>
      <c r="E1462" s="97">
        <f>INSUMOS!E15</f>
        <v>8.9497208495595526</v>
      </c>
    </row>
    <row r="1463" spans="1:5" x14ac:dyDescent="0.25">
      <c r="A1463" s="77" t="s">
        <v>650</v>
      </c>
      <c r="B1463" s="78">
        <f>INSUMOS!B296</f>
        <v>178200</v>
      </c>
      <c r="C1463" s="98">
        <v>1</v>
      </c>
      <c r="D1463" s="75">
        <f>C1463*B1463</f>
        <v>178200</v>
      </c>
      <c r="E1463" s="105" t="s">
        <v>232</v>
      </c>
    </row>
    <row r="1464" spans="1:5" x14ac:dyDescent="0.25">
      <c r="A1464" s="77" t="s">
        <v>651</v>
      </c>
      <c r="B1464" s="78">
        <f>INSUMOS!B286</f>
        <v>50000</v>
      </c>
      <c r="C1464" s="98">
        <v>1</v>
      </c>
      <c r="D1464" s="75">
        <f>C1464*B1464</f>
        <v>50000</v>
      </c>
      <c r="E1464" s="105"/>
    </row>
    <row r="1465" spans="1:5" x14ac:dyDescent="0.25">
      <c r="A1465" s="77" t="s">
        <v>652</v>
      </c>
      <c r="B1465" s="78">
        <f>INSUMOS!B300</f>
        <v>30000</v>
      </c>
      <c r="C1465" s="98">
        <v>1</v>
      </c>
      <c r="D1465" s="75">
        <f>C1465*B1465</f>
        <v>30000</v>
      </c>
      <c r="E1465" s="105"/>
    </row>
    <row r="1466" spans="1:5" x14ac:dyDescent="0.25">
      <c r="A1466" s="82"/>
      <c r="B1466" s="83"/>
      <c r="C1466" s="83" t="s">
        <v>122</v>
      </c>
      <c r="D1466" s="83">
        <f>SUM(D1461:D1465)</f>
        <v>435200</v>
      </c>
      <c r="E1466" s="100">
        <f>SUM(E1461:E1465)</f>
        <v>9.9197208495595532</v>
      </c>
    </row>
    <row r="1468" spans="1:5" x14ac:dyDescent="0.25">
      <c r="A1468" s="279" t="s">
        <v>1058</v>
      </c>
      <c r="B1468" s="279"/>
      <c r="C1468" s="279"/>
      <c r="D1468" s="279"/>
      <c r="E1468" s="279"/>
    </row>
    <row r="1469" spans="1:5" x14ac:dyDescent="0.25">
      <c r="A1469" s="72" t="s">
        <v>92</v>
      </c>
      <c r="B1469" s="72" t="s">
        <v>93</v>
      </c>
      <c r="C1469" s="72" t="s">
        <v>227</v>
      </c>
      <c r="D1469" s="72" t="s">
        <v>228</v>
      </c>
      <c r="E1469" s="114" t="s">
        <v>229</v>
      </c>
    </row>
    <row r="1470" spans="1:5" x14ac:dyDescent="0.25">
      <c r="A1470" s="74" t="s">
        <v>1059</v>
      </c>
      <c r="B1470" s="75">
        <f>INSUMOS!B186</f>
        <v>1950000</v>
      </c>
      <c r="C1470" s="103">
        <v>1</v>
      </c>
      <c r="D1470" s="75">
        <f t="shared" ref="D1470:D1475" si="34">C1470*B1470</f>
        <v>1950000</v>
      </c>
      <c r="E1470" s="102">
        <f>INSUMOS!E186</f>
        <v>74.400000000000006</v>
      </c>
    </row>
    <row r="1471" spans="1:5" x14ac:dyDescent="0.25">
      <c r="A1471" s="77" t="s">
        <v>826</v>
      </c>
      <c r="B1471" s="78">
        <f>INSUMOS!B229</f>
        <v>336000</v>
      </c>
      <c r="C1471" s="98">
        <v>1</v>
      </c>
      <c r="D1471" s="75">
        <f t="shared" si="34"/>
        <v>336000</v>
      </c>
      <c r="E1471" s="97">
        <f>INSUMOS!E229</f>
        <v>8</v>
      </c>
    </row>
    <row r="1472" spans="1:5" x14ac:dyDescent="0.25">
      <c r="A1472" s="77" t="s">
        <v>1036</v>
      </c>
      <c r="B1472" s="78">
        <f>INSUMOS!B406</f>
        <v>120000</v>
      </c>
      <c r="C1472" s="98">
        <v>1</v>
      </c>
      <c r="D1472" s="75">
        <f t="shared" si="34"/>
        <v>120000</v>
      </c>
      <c r="E1472" s="97"/>
    </row>
    <row r="1473" spans="1:5" x14ac:dyDescent="0.25">
      <c r="A1473" s="77" t="s">
        <v>959</v>
      </c>
      <c r="B1473" s="78">
        <f>INSUMOS!B371</f>
        <v>880000</v>
      </c>
      <c r="C1473" s="98">
        <v>1</v>
      </c>
      <c r="D1473" s="75">
        <f t="shared" si="34"/>
        <v>880000</v>
      </c>
      <c r="E1473" s="105" t="s">
        <v>232</v>
      </c>
    </row>
    <row r="1474" spans="1:5" x14ac:dyDescent="0.25">
      <c r="A1474" s="77" t="s">
        <v>960</v>
      </c>
      <c r="B1474" s="78">
        <f>INSUMOS!B391</f>
        <v>260000</v>
      </c>
      <c r="C1474" s="98">
        <v>1</v>
      </c>
      <c r="D1474" s="75">
        <f t="shared" si="34"/>
        <v>260000</v>
      </c>
      <c r="E1474" s="105"/>
    </row>
    <row r="1475" spans="1:5" x14ac:dyDescent="0.25">
      <c r="A1475" s="77" t="s">
        <v>961</v>
      </c>
      <c r="B1475" s="78">
        <f>INSUMOS!B345</f>
        <v>300000</v>
      </c>
      <c r="C1475" s="98">
        <v>1</v>
      </c>
      <c r="D1475" s="75">
        <f t="shared" si="34"/>
        <v>300000</v>
      </c>
      <c r="E1475" s="105"/>
    </row>
    <row r="1476" spans="1:5" x14ac:dyDescent="0.25">
      <c r="A1476" s="82"/>
      <c r="B1476" s="83"/>
      <c r="C1476" s="83" t="s">
        <v>122</v>
      </c>
      <c r="D1476" s="83">
        <f>SUM(D1470:D1475)</f>
        <v>3846000</v>
      </c>
      <c r="E1476" s="100">
        <f>SUM(E1470:E1475)</f>
        <v>82.4</v>
      </c>
    </row>
    <row r="1478" spans="1:5" x14ac:dyDescent="0.25">
      <c r="A1478" s="279" t="s">
        <v>1060</v>
      </c>
      <c r="B1478" s="279"/>
      <c r="C1478" s="279"/>
      <c r="D1478" s="279"/>
      <c r="E1478" s="279"/>
    </row>
    <row r="1479" spans="1:5" x14ac:dyDescent="0.25">
      <c r="A1479" s="71" t="s">
        <v>92</v>
      </c>
      <c r="B1479" s="72" t="s">
        <v>226</v>
      </c>
      <c r="C1479" s="72" t="s">
        <v>227</v>
      </c>
      <c r="D1479" s="72" t="s">
        <v>228</v>
      </c>
      <c r="E1479" s="73" t="s">
        <v>229</v>
      </c>
    </row>
    <row r="1480" spans="1:5" x14ac:dyDescent="0.25">
      <c r="A1480" s="74" t="s">
        <v>724</v>
      </c>
      <c r="B1480" s="75">
        <f>INSUMOS!B151</f>
        <v>205000</v>
      </c>
      <c r="C1480" s="103">
        <v>1</v>
      </c>
      <c r="D1480" s="75">
        <f>C1480*B1480</f>
        <v>205000</v>
      </c>
      <c r="E1480" s="102">
        <f>INSUMOS!E151</f>
        <v>9.8000000000000007</v>
      </c>
    </row>
    <row r="1481" spans="1:5" x14ac:dyDescent="0.25">
      <c r="A1481" s="74" t="s">
        <v>1061</v>
      </c>
      <c r="B1481" s="75">
        <f>INSUMOS!B399</f>
        <v>90000</v>
      </c>
      <c r="C1481" s="103"/>
      <c r="D1481" s="75"/>
      <c r="E1481" s="97"/>
    </row>
    <row r="1482" spans="1:5" x14ac:dyDescent="0.25">
      <c r="A1482" s="77" t="s">
        <v>1062</v>
      </c>
      <c r="B1482" s="78">
        <f>INSUMOS!B210</f>
        <v>325000</v>
      </c>
      <c r="C1482" s="98">
        <v>1</v>
      </c>
      <c r="D1482" s="75">
        <f>C1482*B1482</f>
        <v>325000</v>
      </c>
      <c r="E1482" s="97">
        <f>INSUMOS!E210</f>
        <v>8</v>
      </c>
    </row>
    <row r="1483" spans="1:5" x14ac:dyDescent="0.25">
      <c r="A1483" s="77" t="s">
        <v>726</v>
      </c>
      <c r="B1483" s="78">
        <f>INSUMOS!B352</f>
        <v>230000</v>
      </c>
      <c r="C1483" s="98">
        <v>1</v>
      </c>
      <c r="D1483" s="75">
        <f>C1483*B1483</f>
        <v>230000</v>
      </c>
      <c r="E1483" s="105" t="s">
        <v>232</v>
      </c>
    </row>
    <row r="1484" spans="1:5" x14ac:dyDescent="0.25">
      <c r="A1484" s="77" t="s">
        <v>727</v>
      </c>
      <c r="B1484" s="78">
        <f>INSUMOS!B315</f>
        <v>70000</v>
      </c>
      <c r="C1484" s="98">
        <v>1</v>
      </c>
      <c r="D1484" s="75">
        <f>C1484*B1484</f>
        <v>70000</v>
      </c>
      <c r="E1484" s="105"/>
    </row>
    <row r="1485" spans="1:5" x14ac:dyDescent="0.25">
      <c r="A1485" s="82"/>
      <c r="B1485" s="83"/>
      <c r="C1485" s="113" t="s">
        <v>122</v>
      </c>
      <c r="D1485" s="83">
        <f>SUM(D1480:D1484)</f>
        <v>830000</v>
      </c>
      <c r="E1485" s="100">
        <f>SUM(E1480:E1484)</f>
        <v>17.8</v>
      </c>
    </row>
    <row r="1487" spans="1:5" x14ac:dyDescent="0.25">
      <c r="A1487" s="279" t="s">
        <v>1063</v>
      </c>
      <c r="B1487" s="279"/>
      <c r="C1487" s="279"/>
      <c r="D1487" s="279"/>
      <c r="E1487" s="279"/>
    </row>
    <row r="1488" spans="1:5" x14ac:dyDescent="0.25">
      <c r="A1488" s="72" t="s">
        <v>92</v>
      </c>
      <c r="B1488" s="72" t="s">
        <v>93</v>
      </c>
      <c r="C1488" s="72" t="s">
        <v>227</v>
      </c>
      <c r="D1488" s="72" t="s">
        <v>228</v>
      </c>
      <c r="E1488" s="73" t="s">
        <v>229</v>
      </c>
    </row>
    <row r="1489" spans="1:8" x14ac:dyDescent="0.25">
      <c r="A1489" s="74" t="s">
        <v>786</v>
      </c>
      <c r="B1489" s="75">
        <f>INSUMOS!B170</f>
        <v>1690000</v>
      </c>
      <c r="C1489" s="103">
        <v>1</v>
      </c>
      <c r="D1489" s="75">
        <f t="shared" ref="D1489:D1494" si="35">C1489*B1489</f>
        <v>1690000</v>
      </c>
      <c r="E1489" s="102">
        <f>INSUMOS!E170</f>
        <v>62</v>
      </c>
    </row>
    <row r="1490" spans="1:8" x14ac:dyDescent="0.25">
      <c r="A1490" s="77" t="s">
        <v>857</v>
      </c>
      <c r="B1490" s="78">
        <f>INSUMOS!B218</f>
        <v>600000</v>
      </c>
      <c r="C1490" s="98">
        <v>1</v>
      </c>
      <c r="D1490" s="75">
        <f t="shared" si="35"/>
        <v>600000</v>
      </c>
      <c r="E1490" s="97">
        <f>INSUMOS!E218</f>
        <v>13</v>
      </c>
    </row>
    <row r="1491" spans="1:8" x14ac:dyDescent="0.25">
      <c r="A1491" s="77" t="s">
        <v>1064</v>
      </c>
      <c r="B1491" s="78">
        <f>INSUMOS!B400</f>
        <v>170000</v>
      </c>
      <c r="C1491" s="98">
        <v>1</v>
      </c>
      <c r="D1491" s="75">
        <f t="shared" si="35"/>
        <v>170000</v>
      </c>
      <c r="E1491" s="97"/>
    </row>
    <row r="1492" spans="1:8" x14ac:dyDescent="0.25">
      <c r="A1492" s="77" t="s">
        <v>789</v>
      </c>
      <c r="B1492" s="78">
        <f>INSUMOS!B357</f>
        <v>680000</v>
      </c>
      <c r="C1492" s="98">
        <v>1</v>
      </c>
      <c r="D1492" s="75">
        <f t="shared" si="35"/>
        <v>680000</v>
      </c>
      <c r="E1492" s="105" t="s">
        <v>232</v>
      </c>
    </row>
    <row r="1493" spans="1:8" x14ac:dyDescent="0.25">
      <c r="A1493" s="77" t="s">
        <v>790</v>
      </c>
      <c r="B1493" s="78">
        <f>INSUMOS!B376</f>
        <v>480000</v>
      </c>
      <c r="C1493" s="98">
        <v>1</v>
      </c>
      <c r="D1493" s="75">
        <f t="shared" si="35"/>
        <v>480000</v>
      </c>
      <c r="E1493" s="105"/>
    </row>
    <row r="1494" spans="1:8" x14ac:dyDescent="0.25">
      <c r="A1494" s="77" t="s">
        <v>791</v>
      </c>
      <c r="B1494" s="78">
        <f>INSUMOS!B320</f>
        <v>180000</v>
      </c>
      <c r="C1494" s="98">
        <v>1</v>
      </c>
      <c r="D1494" s="75">
        <f t="shared" si="35"/>
        <v>180000</v>
      </c>
      <c r="E1494" s="105"/>
    </row>
    <row r="1495" spans="1:8" x14ac:dyDescent="0.25">
      <c r="A1495" s="82"/>
      <c r="B1495" s="83"/>
      <c r="C1495" s="83" t="s">
        <v>122</v>
      </c>
      <c r="D1495" s="83">
        <f>SUM(D1489:D1494)</f>
        <v>3800000</v>
      </c>
      <c r="E1495" s="100">
        <f>SUM(E1489:E1494)</f>
        <v>75</v>
      </c>
    </row>
    <row r="1496" spans="1:8" x14ac:dyDescent="0.25">
      <c r="G1496" s="115"/>
      <c r="H1496" s="115"/>
    </row>
    <row r="1497" spans="1:8" x14ac:dyDescent="0.25">
      <c r="A1497" s="279" t="s">
        <v>1065</v>
      </c>
      <c r="B1497" s="279"/>
      <c r="C1497" s="279"/>
      <c r="D1497" s="279"/>
      <c r="E1497" s="279"/>
    </row>
    <row r="1498" spans="1:8" x14ac:dyDescent="0.25">
      <c r="A1498" s="72" t="s">
        <v>92</v>
      </c>
      <c r="B1498" s="72" t="s">
        <v>226</v>
      </c>
      <c r="C1498" s="72" t="s">
        <v>227</v>
      </c>
      <c r="D1498" s="72" t="s">
        <v>228</v>
      </c>
      <c r="E1498" s="73" t="s">
        <v>229</v>
      </c>
    </row>
    <row r="1499" spans="1:8" x14ac:dyDescent="0.25">
      <c r="A1499" s="74" t="s">
        <v>1066</v>
      </c>
      <c r="B1499" s="75">
        <f>INSUMOS!B138</f>
        <v>169000</v>
      </c>
      <c r="C1499" s="103">
        <v>1</v>
      </c>
      <c r="D1499" s="75">
        <f>C1499*B1499</f>
        <v>169000</v>
      </c>
      <c r="E1499" s="102">
        <f>INSUMOS!E138</f>
        <v>2.91</v>
      </c>
    </row>
    <row r="1500" spans="1:8" x14ac:dyDescent="0.25">
      <c r="A1500" s="77" t="s">
        <v>658</v>
      </c>
      <c r="B1500" s="78">
        <f>INSUMOS!B16</f>
        <v>240000</v>
      </c>
      <c r="C1500" s="98">
        <v>0.15</v>
      </c>
      <c r="D1500" s="75">
        <f>C1500*B1500</f>
        <v>36000</v>
      </c>
      <c r="E1500" s="97">
        <f>C1500*INSUMOS!E16</f>
        <v>2.3865922265492139</v>
      </c>
    </row>
    <row r="1501" spans="1:8" x14ac:dyDescent="0.25">
      <c r="A1501" s="77" t="s">
        <v>659</v>
      </c>
      <c r="B1501" s="78">
        <f>INSUMOS!B297</f>
        <v>200000</v>
      </c>
      <c r="C1501" s="98">
        <v>1</v>
      </c>
      <c r="D1501" s="75">
        <f>C1501*B1501</f>
        <v>200000</v>
      </c>
      <c r="E1501" s="105" t="s">
        <v>232</v>
      </c>
    </row>
    <row r="1502" spans="1:8" x14ac:dyDescent="0.25">
      <c r="A1502" s="77" t="s">
        <v>655</v>
      </c>
      <c r="B1502" s="78">
        <f>INSUMOS!B288</f>
        <v>80000</v>
      </c>
      <c r="C1502" s="98">
        <v>1</v>
      </c>
      <c r="D1502" s="75">
        <f>C1502*B1502</f>
        <v>80000</v>
      </c>
      <c r="E1502" s="105"/>
    </row>
    <row r="1503" spans="1:8" x14ac:dyDescent="0.25">
      <c r="A1503" s="77" t="s">
        <v>656</v>
      </c>
      <c r="B1503" s="78">
        <f>INSUMOS!B302</f>
        <v>40000</v>
      </c>
      <c r="C1503" s="98">
        <v>1</v>
      </c>
      <c r="D1503" s="75">
        <f>C1503*B1503</f>
        <v>40000</v>
      </c>
      <c r="E1503" s="105"/>
    </row>
    <row r="1504" spans="1:8" x14ac:dyDescent="0.25">
      <c r="A1504" s="82"/>
      <c r="B1504" s="83"/>
      <c r="C1504" s="83" t="s">
        <v>122</v>
      </c>
      <c r="D1504" s="83">
        <f>SUM(D1499:D1503)</f>
        <v>525000</v>
      </c>
      <c r="E1504" s="100">
        <f>SUM(E1499:E1503)</f>
        <v>5.2965922265492136</v>
      </c>
    </row>
    <row r="1506" spans="1:5" x14ac:dyDescent="0.25">
      <c r="A1506" s="279" t="s">
        <v>1067</v>
      </c>
      <c r="B1506" s="279"/>
      <c r="C1506" s="279"/>
      <c r="D1506" s="279"/>
      <c r="E1506" s="279"/>
    </row>
    <row r="1507" spans="1:5" x14ac:dyDescent="0.25">
      <c r="A1507" s="72" t="s">
        <v>92</v>
      </c>
      <c r="B1507" s="72" t="s">
        <v>93</v>
      </c>
      <c r="C1507" s="72" t="s">
        <v>227</v>
      </c>
      <c r="D1507" s="72" t="s">
        <v>228</v>
      </c>
      <c r="E1507" s="73" t="s">
        <v>229</v>
      </c>
    </row>
    <row r="1508" spans="1:5" x14ac:dyDescent="0.25">
      <c r="A1508" s="74" t="s">
        <v>856</v>
      </c>
      <c r="B1508" s="75">
        <f>INSUMOS!B156</f>
        <v>1300000</v>
      </c>
      <c r="C1508" s="103">
        <v>1</v>
      </c>
      <c r="D1508" s="75">
        <f t="shared" ref="D1508:D1513" si="36">C1508*B1508</f>
        <v>1300000</v>
      </c>
      <c r="E1508" s="102">
        <f>INSUMOS!E156</f>
        <v>42</v>
      </c>
    </row>
    <row r="1509" spans="1:5" x14ac:dyDescent="0.25">
      <c r="A1509" s="77" t="s">
        <v>882</v>
      </c>
      <c r="B1509" s="78">
        <f>INSUMOS!B210</f>
        <v>325000</v>
      </c>
      <c r="C1509" s="98">
        <v>1</v>
      </c>
      <c r="D1509" s="75">
        <f t="shared" si="36"/>
        <v>325000</v>
      </c>
      <c r="E1509" s="97">
        <f>INSUMOS!E210</f>
        <v>8</v>
      </c>
    </row>
    <row r="1510" spans="1:5" x14ac:dyDescent="0.25">
      <c r="A1510" s="77" t="s">
        <v>1040</v>
      </c>
      <c r="B1510" s="78">
        <f>INSUMOS!B399</f>
        <v>90000</v>
      </c>
      <c r="C1510" s="98">
        <v>1</v>
      </c>
      <c r="D1510" s="75">
        <f t="shared" si="36"/>
        <v>90000</v>
      </c>
      <c r="E1510" s="97"/>
    </row>
    <row r="1511" spans="1:5" x14ac:dyDescent="0.25">
      <c r="A1511" s="77" t="s">
        <v>789</v>
      </c>
      <c r="B1511" s="78">
        <f>INSUMOS!B357</f>
        <v>680000</v>
      </c>
      <c r="C1511" s="98">
        <v>1</v>
      </c>
      <c r="D1511" s="75">
        <f t="shared" si="36"/>
        <v>680000</v>
      </c>
      <c r="E1511" s="105" t="s">
        <v>232</v>
      </c>
    </row>
    <row r="1512" spans="1:5" x14ac:dyDescent="0.25">
      <c r="A1512" s="77" t="s">
        <v>790</v>
      </c>
      <c r="B1512" s="78">
        <f>INSUMOS!B376</f>
        <v>480000</v>
      </c>
      <c r="C1512" s="98">
        <v>1</v>
      </c>
      <c r="D1512" s="75">
        <f t="shared" si="36"/>
        <v>480000</v>
      </c>
      <c r="E1512" s="105"/>
    </row>
    <row r="1513" spans="1:5" x14ac:dyDescent="0.25">
      <c r="A1513" s="77" t="s">
        <v>791</v>
      </c>
      <c r="B1513" s="78">
        <f>INSUMOS!B320</f>
        <v>180000</v>
      </c>
      <c r="C1513" s="98">
        <v>1</v>
      </c>
      <c r="D1513" s="75">
        <f t="shared" si="36"/>
        <v>180000</v>
      </c>
      <c r="E1513" s="105"/>
    </row>
    <row r="1514" spans="1:5" x14ac:dyDescent="0.25">
      <c r="A1514" s="82"/>
      <c r="B1514" s="83"/>
      <c r="C1514" s="83" t="s">
        <v>122</v>
      </c>
      <c r="D1514" s="83">
        <f>SUM(D1508:D1513)</f>
        <v>3055000</v>
      </c>
      <c r="E1514" s="100">
        <f>SUM(E1508:E1513)</f>
        <v>50</v>
      </c>
    </row>
    <row r="1516" spans="1:5" x14ac:dyDescent="0.25">
      <c r="A1516" s="279" t="s">
        <v>1068</v>
      </c>
      <c r="B1516" s="279"/>
      <c r="C1516" s="279"/>
      <c r="D1516" s="279"/>
      <c r="E1516" s="279"/>
    </row>
    <row r="1517" spans="1:5" x14ac:dyDescent="0.25">
      <c r="A1517" s="72" t="s">
        <v>92</v>
      </c>
      <c r="B1517" s="72" t="s">
        <v>226</v>
      </c>
      <c r="C1517" s="72" t="s">
        <v>227</v>
      </c>
      <c r="D1517" s="72" t="s">
        <v>228</v>
      </c>
      <c r="E1517" s="73" t="s">
        <v>229</v>
      </c>
    </row>
    <row r="1518" spans="1:5" x14ac:dyDescent="0.25">
      <c r="A1518" s="74" t="s">
        <v>701</v>
      </c>
      <c r="B1518" s="75">
        <f>INSUMOS!B134</f>
        <v>260000</v>
      </c>
      <c r="C1518" s="103">
        <v>1</v>
      </c>
      <c r="D1518" s="75">
        <f>C1518*B1518</f>
        <v>260000</v>
      </c>
      <c r="E1518" s="102">
        <f>INSUMOS!E134</f>
        <v>24</v>
      </c>
    </row>
    <row r="1519" spans="1:5" x14ac:dyDescent="0.25">
      <c r="A1519" s="77" t="s">
        <v>992</v>
      </c>
      <c r="B1519" s="78">
        <f>INSUMOS!B242</f>
        <v>280000</v>
      </c>
      <c r="C1519" s="98">
        <v>1</v>
      </c>
      <c r="D1519" s="75">
        <f>C1519*B1519</f>
        <v>280000</v>
      </c>
      <c r="E1519" s="97">
        <f>INSUMOS!E242</f>
        <v>5</v>
      </c>
    </row>
    <row r="1520" spans="1:5" x14ac:dyDescent="0.25">
      <c r="A1520" s="77" t="s">
        <v>702</v>
      </c>
      <c r="B1520" s="78">
        <f>INSUMOS!B292</f>
        <v>200000</v>
      </c>
      <c r="C1520" s="98">
        <v>1</v>
      </c>
      <c r="D1520" s="75">
        <f>C1520*B1520</f>
        <v>200000</v>
      </c>
      <c r="E1520" s="105" t="s">
        <v>232</v>
      </c>
    </row>
    <row r="1521" spans="1:5" x14ac:dyDescent="0.25">
      <c r="A1521" s="77" t="s">
        <v>703</v>
      </c>
      <c r="B1521" s="78">
        <f>INSUMOS!B306</f>
        <v>80000</v>
      </c>
      <c r="C1521" s="98">
        <v>1</v>
      </c>
      <c r="D1521" s="75">
        <f>C1521*B1521</f>
        <v>80000</v>
      </c>
      <c r="E1521" s="105"/>
    </row>
    <row r="1522" spans="1:5" x14ac:dyDescent="0.25">
      <c r="A1522" s="82"/>
      <c r="B1522" s="83"/>
      <c r="C1522" s="113" t="s">
        <v>122</v>
      </c>
      <c r="D1522" s="83">
        <f>SUM(D1518:D1521)</f>
        <v>820000</v>
      </c>
      <c r="E1522" s="100">
        <f>SUM(E1518:E1521)</f>
        <v>29</v>
      </c>
    </row>
    <row r="1524" spans="1:5" x14ac:dyDescent="0.25">
      <c r="A1524" s="279" t="s">
        <v>1069</v>
      </c>
      <c r="B1524" s="279"/>
      <c r="C1524" s="279"/>
      <c r="D1524" s="279"/>
      <c r="E1524" s="279"/>
    </row>
    <row r="1525" spans="1:5" x14ac:dyDescent="0.25">
      <c r="A1525" s="72" t="s">
        <v>92</v>
      </c>
      <c r="B1525" s="72" t="s">
        <v>93</v>
      </c>
      <c r="C1525" s="72" t="s">
        <v>227</v>
      </c>
      <c r="D1525" s="72" t="s">
        <v>228</v>
      </c>
      <c r="E1525" s="114" t="s">
        <v>229</v>
      </c>
    </row>
    <row r="1526" spans="1:5" x14ac:dyDescent="0.25">
      <c r="A1526" s="74" t="s">
        <v>957</v>
      </c>
      <c r="B1526" s="75">
        <f>INSUMOS!B182</f>
        <v>1900000</v>
      </c>
      <c r="C1526" s="103">
        <v>1</v>
      </c>
      <c r="D1526" s="75">
        <f t="shared" ref="D1526:D1531" si="37">C1526*B1526</f>
        <v>1900000</v>
      </c>
      <c r="E1526" s="102">
        <f>INSUMOS!E181</f>
        <v>74.400000000000006</v>
      </c>
    </row>
    <row r="1527" spans="1:5" x14ac:dyDescent="0.25">
      <c r="A1527" s="77" t="s">
        <v>876</v>
      </c>
      <c r="B1527" s="78">
        <f>INSUMOS!B223</f>
        <v>230000</v>
      </c>
      <c r="C1527" s="98">
        <v>1</v>
      </c>
      <c r="D1527" s="75">
        <f t="shared" si="37"/>
        <v>230000</v>
      </c>
      <c r="E1527" s="97">
        <f>INSUMOS!E223</f>
        <v>8</v>
      </c>
    </row>
    <row r="1528" spans="1:5" x14ac:dyDescent="0.25">
      <c r="A1528" s="77" t="s">
        <v>958</v>
      </c>
      <c r="B1528" s="78">
        <f>INSUMOS!B406</f>
        <v>120000</v>
      </c>
      <c r="C1528" s="98">
        <v>1</v>
      </c>
      <c r="D1528" s="75">
        <f t="shared" si="37"/>
        <v>120000</v>
      </c>
      <c r="E1528" s="97"/>
    </row>
    <row r="1529" spans="1:5" x14ac:dyDescent="0.25">
      <c r="A1529" s="77" t="s">
        <v>959</v>
      </c>
      <c r="B1529" s="78">
        <f>INSUMOS!B371</f>
        <v>880000</v>
      </c>
      <c r="C1529" s="98">
        <v>1</v>
      </c>
      <c r="D1529" s="75">
        <f t="shared" si="37"/>
        <v>880000</v>
      </c>
      <c r="E1529" s="105" t="s">
        <v>232</v>
      </c>
    </row>
    <row r="1530" spans="1:5" x14ac:dyDescent="0.25">
      <c r="A1530" s="77" t="s">
        <v>960</v>
      </c>
      <c r="B1530" s="78">
        <f>INSUMOS!B391</f>
        <v>260000</v>
      </c>
      <c r="C1530" s="98">
        <v>1</v>
      </c>
      <c r="D1530" s="75">
        <f t="shared" si="37"/>
        <v>260000</v>
      </c>
      <c r="E1530" s="105"/>
    </row>
    <row r="1531" spans="1:5" x14ac:dyDescent="0.25">
      <c r="A1531" s="77" t="s">
        <v>961</v>
      </c>
      <c r="B1531" s="78">
        <f>INSUMOS!B345</f>
        <v>300000</v>
      </c>
      <c r="C1531" s="98">
        <v>1</v>
      </c>
      <c r="D1531" s="75">
        <f t="shared" si="37"/>
        <v>300000</v>
      </c>
      <c r="E1531" s="105"/>
    </row>
    <row r="1532" spans="1:5" x14ac:dyDescent="0.25">
      <c r="A1532" s="82"/>
      <c r="B1532" s="83"/>
      <c r="C1532" s="83" t="s">
        <v>122</v>
      </c>
      <c r="D1532" s="83">
        <f>SUM(D1526:D1531)</f>
        <v>3690000</v>
      </c>
      <c r="E1532" s="100">
        <f>SUM(E1526:E1531)</f>
        <v>82.4</v>
      </c>
    </row>
    <row r="1534" spans="1:5" x14ac:dyDescent="0.25">
      <c r="A1534" s="279" t="s">
        <v>1070</v>
      </c>
      <c r="B1534" s="279"/>
      <c r="C1534" s="279"/>
      <c r="D1534" s="279"/>
      <c r="E1534" s="279"/>
    </row>
    <row r="1535" spans="1:5" x14ac:dyDescent="0.25">
      <c r="A1535" s="72" t="s">
        <v>92</v>
      </c>
      <c r="B1535" s="72" t="s">
        <v>226</v>
      </c>
      <c r="C1535" s="72" t="s">
        <v>227</v>
      </c>
      <c r="D1535" s="72" t="s">
        <v>228</v>
      </c>
      <c r="E1535" s="73" t="s">
        <v>229</v>
      </c>
    </row>
    <row r="1536" spans="1:5" x14ac:dyDescent="0.25">
      <c r="A1536" s="74" t="s">
        <v>1071</v>
      </c>
      <c r="B1536" s="75">
        <f>INSUMOS!B129</f>
        <v>130000</v>
      </c>
      <c r="C1536" s="103">
        <v>1</v>
      </c>
      <c r="D1536" s="75">
        <f>C1536*B1536</f>
        <v>130000</v>
      </c>
      <c r="E1536" s="102">
        <f>INSUMOS!E129</f>
        <v>2.5</v>
      </c>
    </row>
    <row r="1537" spans="1:5" x14ac:dyDescent="0.25">
      <c r="A1537" s="77" t="s">
        <v>706</v>
      </c>
      <c r="B1537" s="78">
        <f>INSUMOS!B243</f>
        <v>310000</v>
      </c>
      <c r="C1537" s="98">
        <v>1</v>
      </c>
      <c r="D1537" s="75">
        <f>C1537*B1537</f>
        <v>310000</v>
      </c>
      <c r="E1537" s="97">
        <f>INSUMOS!E234</f>
        <v>6</v>
      </c>
    </row>
    <row r="1538" spans="1:5" x14ac:dyDescent="0.25">
      <c r="A1538" s="77" t="s">
        <v>1072</v>
      </c>
      <c r="B1538" s="78">
        <v>150000</v>
      </c>
      <c r="C1538" s="98">
        <v>1</v>
      </c>
      <c r="D1538" s="75">
        <f>C1538*B1538</f>
        <v>150000</v>
      </c>
      <c r="E1538" s="105" t="s">
        <v>232</v>
      </c>
    </row>
    <row r="1539" spans="1:5" x14ac:dyDescent="0.25">
      <c r="A1539" s="77" t="s">
        <v>1073</v>
      </c>
      <c r="B1539" s="78">
        <f>INSUMOS!B287</f>
        <v>70000</v>
      </c>
      <c r="C1539" s="98">
        <v>1</v>
      </c>
      <c r="D1539" s="75">
        <f>C1539*B1539</f>
        <v>70000</v>
      </c>
      <c r="E1539" s="105"/>
    </row>
    <row r="1540" spans="1:5" x14ac:dyDescent="0.25">
      <c r="A1540" s="82"/>
      <c r="B1540" s="83"/>
      <c r="C1540" s="113" t="s">
        <v>122</v>
      </c>
      <c r="D1540" s="83">
        <f>SUM(D1536:D1539)</f>
        <v>660000</v>
      </c>
      <c r="E1540" s="100">
        <f>SUM(E1536:E1539)</f>
        <v>8.5</v>
      </c>
    </row>
    <row r="1542" spans="1:5" x14ac:dyDescent="0.25">
      <c r="A1542" s="279" t="s">
        <v>1074</v>
      </c>
      <c r="B1542" s="279"/>
      <c r="C1542" s="279"/>
      <c r="D1542" s="279"/>
      <c r="E1542" s="279"/>
    </row>
    <row r="1543" spans="1:5" x14ac:dyDescent="0.25">
      <c r="A1543" s="72" t="s">
        <v>92</v>
      </c>
      <c r="B1543" s="72" t="s">
        <v>226</v>
      </c>
      <c r="C1543" s="72" t="s">
        <v>227</v>
      </c>
      <c r="D1543" s="72" t="s">
        <v>228</v>
      </c>
      <c r="E1543" s="73" t="s">
        <v>229</v>
      </c>
    </row>
    <row r="1544" spans="1:5" x14ac:dyDescent="0.25">
      <c r="A1544" s="74" t="s">
        <v>1057</v>
      </c>
      <c r="B1544" s="75">
        <f>INSUMOS!B137</f>
        <v>156000</v>
      </c>
      <c r="C1544" s="103">
        <v>1</v>
      </c>
      <c r="D1544" s="75">
        <f>C1544*B1544</f>
        <v>156000</v>
      </c>
      <c r="E1544" s="102">
        <f>INSUMOS!E137</f>
        <v>0.97</v>
      </c>
    </row>
    <row r="1545" spans="1:5" x14ac:dyDescent="0.25">
      <c r="A1545" s="77" t="s">
        <v>671</v>
      </c>
      <c r="B1545" s="78">
        <f>INSUMOS!B16</f>
        <v>240000</v>
      </c>
      <c r="C1545" s="98">
        <v>0.15</v>
      </c>
      <c r="D1545" s="75">
        <f>C1545*B1545</f>
        <v>36000</v>
      </c>
      <c r="E1545" s="97">
        <f>C1545*INSUMOS!E16</f>
        <v>2.3865922265492139</v>
      </c>
    </row>
    <row r="1546" spans="1:5" x14ac:dyDescent="0.25">
      <c r="A1546" s="77" t="s">
        <v>659</v>
      </c>
      <c r="B1546" s="78">
        <f>INSUMOS!B297</f>
        <v>200000</v>
      </c>
      <c r="C1546" s="98">
        <v>1</v>
      </c>
      <c r="D1546" s="75">
        <f>C1546*B1546</f>
        <v>200000</v>
      </c>
      <c r="E1546" s="105" t="s">
        <v>232</v>
      </c>
    </row>
    <row r="1547" spans="1:5" x14ac:dyDescent="0.25">
      <c r="A1547" s="77" t="s">
        <v>651</v>
      </c>
      <c r="B1547" s="78">
        <f>INSUMOS!B286</f>
        <v>50000</v>
      </c>
      <c r="C1547" s="98">
        <v>1</v>
      </c>
      <c r="D1547" s="75">
        <f>C1547*B1547</f>
        <v>50000</v>
      </c>
      <c r="E1547" s="105"/>
    </row>
    <row r="1548" spans="1:5" x14ac:dyDescent="0.25">
      <c r="A1548" s="77" t="s">
        <v>652</v>
      </c>
      <c r="B1548" s="78">
        <f>INSUMOS!B300</f>
        <v>30000</v>
      </c>
      <c r="C1548" s="98">
        <v>1</v>
      </c>
      <c r="D1548" s="75">
        <f>C1548*B1548</f>
        <v>30000</v>
      </c>
      <c r="E1548" s="105"/>
    </row>
    <row r="1549" spans="1:5" x14ac:dyDescent="0.25">
      <c r="A1549" s="82"/>
      <c r="B1549" s="83"/>
      <c r="C1549" s="83" t="s">
        <v>122</v>
      </c>
      <c r="D1549" s="83">
        <f>SUM(D1544:D1548)</f>
        <v>472000</v>
      </c>
      <c r="E1549" s="100">
        <f>SUM(E1544:E1548)</f>
        <v>3.3565922265492141</v>
      </c>
    </row>
    <row r="1551" spans="1:5" x14ac:dyDescent="0.25">
      <c r="A1551" s="279" t="s">
        <v>1075</v>
      </c>
      <c r="B1551" s="279"/>
      <c r="C1551" s="279"/>
      <c r="D1551" s="279"/>
      <c r="E1551" s="279"/>
    </row>
    <row r="1552" spans="1:5" x14ac:dyDescent="0.25">
      <c r="A1552" s="72" t="s">
        <v>92</v>
      </c>
      <c r="B1552" s="72" t="s">
        <v>226</v>
      </c>
      <c r="C1552" s="72" t="s">
        <v>227</v>
      </c>
      <c r="D1552" s="72" t="s">
        <v>228</v>
      </c>
      <c r="E1552" s="73" t="s">
        <v>229</v>
      </c>
    </row>
    <row r="1553" spans="1:7" x14ac:dyDescent="0.25">
      <c r="A1553" s="74" t="s">
        <v>1066</v>
      </c>
      <c r="B1553" s="75">
        <f>INSUMOS!B138</f>
        <v>169000</v>
      </c>
      <c r="C1553" s="103">
        <v>1</v>
      </c>
      <c r="D1553" s="75">
        <f>C1553*B1553</f>
        <v>169000</v>
      </c>
      <c r="E1553" s="102">
        <f>INSUMOS!E138</f>
        <v>2.91</v>
      </c>
    </row>
    <row r="1554" spans="1:7" x14ac:dyDescent="0.25">
      <c r="A1554" s="77" t="s">
        <v>671</v>
      </c>
      <c r="B1554" s="78">
        <f>INSUMOS!B16</f>
        <v>240000</v>
      </c>
      <c r="C1554" s="98">
        <v>0.15</v>
      </c>
      <c r="D1554" s="75">
        <f>C1554*B1554</f>
        <v>36000</v>
      </c>
      <c r="E1554" s="97">
        <f>INSUMOS!E16</f>
        <v>15.910614843661428</v>
      </c>
    </row>
    <row r="1555" spans="1:7" x14ac:dyDescent="0.25">
      <c r="A1555" s="77" t="s">
        <v>659</v>
      </c>
      <c r="B1555" s="78">
        <f>INSUMOS!B297</f>
        <v>200000</v>
      </c>
      <c r="C1555" s="98">
        <v>1</v>
      </c>
      <c r="D1555" s="75">
        <f>C1555*B1555</f>
        <v>200000</v>
      </c>
      <c r="E1555" s="105" t="s">
        <v>232</v>
      </c>
    </row>
    <row r="1556" spans="1:7" x14ac:dyDescent="0.25">
      <c r="A1556" s="77" t="s">
        <v>655</v>
      </c>
      <c r="B1556" s="78">
        <f>INSUMOS!B288</f>
        <v>80000</v>
      </c>
      <c r="C1556" s="98">
        <v>1</v>
      </c>
      <c r="D1556" s="75">
        <f>C1556*B1556</f>
        <v>80000</v>
      </c>
      <c r="E1556" s="105"/>
    </row>
    <row r="1557" spans="1:7" x14ac:dyDescent="0.25">
      <c r="A1557" s="77" t="s">
        <v>656</v>
      </c>
      <c r="B1557" s="78">
        <f>INSUMOS!B302</f>
        <v>40000</v>
      </c>
      <c r="C1557" s="98">
        <v>1</v>
      </c>
      <c r="D1557" s="75">
        <f>C1557*B1557</f>
        <v>40000</v>
      </c>
      <c r="E1557" s="105"/>
    </row>
    <row r="1558" spans="1:7" x14ac:dyDescent="0.25">
      <c r="A1558" s="82"/>
      <c r="B1558" s="83"/>
      <c r="C1558" s="83" t="s">
        <v>122</v>
      </c>
      <c r="D1558" s="83">
        <f>SUM(D1553:D1557)</f>
        <v>525000</v>
      </c>
      <c r="E1558" s="100">
        <f>SUM(E1553:E1557)</f>
        <v>18.820614843661428</v>
      </c>
    </row>
    <row r="1560" spans="1:7" x14ac:dyDescent="0.25">
      <c r="A1560" s="279" t="s">
        <v>1076</v>
      </c>
      <c r="B1560" s="279"/>
      <c r="C1560" s="279"/>
      <c r="D1560" s="279"/>
      <c r="E1560" s="279"/>
      <c r="G1560" s="115"/>
    </row>
    <row r="1561" spans="1:7" x14ac:dyDescent="0.25">
      <c r="A1561" s="72" t="s">
        <v>92</v>
      </c>
      <c r="B1561" s="72" t="s">
        <v>93</v>
      </c>
      <c r="C1561" s="72" t="s">
        <v>227</v>
      </c>
      <c r="D1561" s="72" t="s">
        <v>228</v>
      </c>
      <c r="E1561" s="114" t="s">
        <v>229</v>
      </c>
    </row>
    <row r="1562" spans="1:7" x14ac:dyDescent="0.25">
      <c r="A1562" s="74" t="s">
        <v>1012</v>
      </c>
      <c r="B1562" s="75">
        <f>INSUMOS!B179</f>
        <v>990000</v>
      </c>
      <c r="C1562" s="103">
        <v>1</v>
      </c>
      <c r="D1562" s="75">
        <f t="shared" ref="D1562:D1567" si="38">C1562*B1562</f>
        <v>990000</v>
      </c>
      <c r="E1562" s="102">
        <f>INSUMOS!E179</f>
        <v>50</v>
      </c>
    </row>
    <row r="1563" spans="1:7" x14ac:dyDescent="0.25">
      <c r="A1563" s="77" t="s">
        <v>921</v>
      </c>
      <c r="B1563" s="78">
        <f>INSUMOS!B222</f>
        <v>180000</v>
      </c>
      <c r="C1563" s="98">
        <v>1</v>
      </c>
      <c r="D1563" s="75">
        <f t="shared" si="38"/>
        <v>180000</v>
      </c>
      <c r="E1563" s="97">
        <f>INSUMOS!E222</f>
        <v>6</v>
      </c>
    </row>
    <row r="1564" spans="1:7" x14ac:dyDescent="0.25">
      <c r="A1564" s="77" t="s">
        <v>1077</v>
      </c>
      <c r="B1564" s="78">
        <f>INSUMOS!B402</f>
        <v>90000</v>
      </c>
      <c r="C1564" s="98">
        <v>1</v>
      </c>
      <c r="D1564" s="75">
        <f t="shared" si="38"/>
        <v>90000</v>
      </c>
      <c r="E1564" s="97"/>
    </row>
    <row r="1565" spans="1:7" x14ac:dyDescent="0.25">
      <c r="A1565" s="77" t="s">
        <v>828</v>
      </c>
      <c r="B1565" s="78">
        <f>INSUMOS!B369</f>
        <v>650000</v>
      </c>
      <c r="C1565" s="98">
        <v>1</v>
      </c>
      <c r="D1565" s="75">
        <f t="shared" si="38"/>
        <v>650000</v>
      </c>
      <c r="E1565" s="105" t="s">
        <v>232</v>
      </c>
    </row>
    <row r="1566" spans="1:7" x14ac:dyDescent="0.25">
      <c r="A1566" s="77" t="s">
        <v>829</v>
      </c>
      <c r="B1566" s="78">
        <f>INSUMOS!B389</f>
        <v>100000</v>
      </c>
      <c r="C1566" s="98">
        <v>1</v>
      </c>
      <c r="D1566" s="75">
        <f t="shared" si="38"/>
        <v>100000</v>
      </c>
      <c r="E1566" s="105"/>
    </row>
    <row r="1567" spans="1:7" x14ac:dyDescent="0.25">
      <c r="A1567" s="77" t="s">
        <v>830</v>
      </c>
      <c r="B1567" s="78">
        <f>INSUMOS!B343</f>
        <v>200000</v>
      </c>
      <c r="C1567" s="98">
        <v>1</v>
      </c>
      <c r="D1567" s="75">
        <f t="shared" si="38"/>
        <v>200000</v>
      </c>
      <c r="E1567" s="105"/>
    </row>
    <row r="1568" spans="1:7" x14ac:dyDescent="0.25">
      <c r="A1568" s="82"/>
      <c r="B1568" s="83"/>
      <c r="C1568" s="83" t="s">
        <v>122</v>
      </c>
      <c r="D1568" s="83">
        <f>SUM(D1562:D1567)</f>
        <v>2210000</v>
      </c>
      <c r="E1568" s="100">
        <f>SUM(E1562:E1567)</f>
        <v>56</v>
      </c>
    </row>
    <row r="1570" spans="1:5" x14ac:dyDescent="0.25">
      <c r="A1570" s="279" t="s">
        <v>1078</v>
      </c>
      <c r="B1570" s="279"/>
      <c r="C1570" s="279"/>
      <c r="D1570" s="279"/>
      <c r="E1570" s="279"/>
    </row>
    <row r="1571" spans="1:5" x14ac:dyDescent="0.25">
      <c r="A1571" s="72" t="s">
        <v>92</v>
      </c>
      <c r="B1571" s="72" t="s">
        <v>226</v>
      </c>
      <c r="C1571" s="72" t="s">
        <v>227</v>
      </c>
      <c r="D1571" s="72" t="s">
        <v>228</v>
      </c>
      <c r="E1571" s="73" t="s">
        <v>229</v>
      </c>
    </row>
    <row r="1572" spans="1:5" x14ac:dyDescent="0.25">
      <c r="A1572" s="74" t="s">
        <v>1079</v>
      </c>
      <c r="B1572" s="75">
        <f>INSUMOS!B199</f>
        <v>325000</v>
      </c>
      <c r="C1572" s="103">
        <v>1</v>
      </c>
      <c r="D1572" s="75">
        <f>C1572*B1572</f>
        <v>325000</v>
      </c>
      <c r="E1572" s="102">
        <f>INSUMOS!E199</f>
        <v>8.6999999999999993</v>
      </c>
    </row>
    <row r="1573" spans="1:5" x14ac:dyDescent="0.25">
      <c r="A1573" s="77" t="s">
        <v>1080</v>
      </c>
      <c r="B1573" s="78">
        <f>INSUMOS!B238</f>
        <v>260000</v>
      </c>
      <c r="C1573" s="98">
        <v>1</v>
      </c>
      <c r="D1573" s="75">
        <f>C1573*B1573</f>
        <v>260000</v>
      </c>
      <c r="E1573" s="97">
        <f>INSUMOS!E238</f>
        <v>4</v>
      </c>
    </row>
    <row r="1574" spans="1:5" x14ac:dyDescent="0.25">
      <c r="A1574" s="77" t="s">
        <v>758</v>
      </c>
      <c r="B1574" s="78">
        <f>INSUMOS!B414</f>
        <v>240000</v>
      </c>
      <c r="C1574" s="98">
        <v>1</v>
      </c>
      <c r="D1574" s="75">
        <f>C1574*B1574</f>
        <v>240000</v>
      </c>
      <c r="E1574" s="105" t="s">
        <v>232</v>
      </c>
    </row>
    <row r="1575" spans="1:5" x14ac:dyDescent="0.25">
      <c r="A1575" s="77" t="s">
        <v>759</v>
      </c>
      <c r="B1575" s="78">
        <f>INSUMOS!B326</f>
        <v>60000</v>
      </c>
      <c r="C1575" s="98">
        <v>1</v>
      </c>
      <c r="D1575" s="75">
        <f>C1575*B1575</f>
        <v>60000</v>
      </c>
      <c r="E1575" s="105"/>
    </row>
    <row r="1576" spans="1:5" x14ac:dyDescent="0.25">
      <c r="A1576" s="82"/>
      <c r="B1576" s="83"/>
      <c r="C1576" s="113" t="s">
        <v>122</v>
      </c>
      <c r="D1576" s="83">
        <f>SUM(D1572:D1575)</f>
        <v>885000</v>
      </c>
      <c r="E1576" s="100">
        <f>SUM(E1572:E1575)</f>
        <v>12.7</v>
      </c>
    </row>
    <row r="1578" spans="1:5" x14ac:dyDescent="0.25">
      <c r="A1578" s="279" t="s">
        <v>1081</v>
      </c>
      <c r="B1578" s="279"/>
      <c r="C1578" s="279"/>
      <c r="D1578" s="279"/>
      <c r="E1578" s="279"/>
    </row>
    <row r="1579" spans="1:5" x14ac:dyDescent="0.25">
      <c r="A1579" s="72" t="s">
        <v>92</v>
      </c>
      <c r="B1579" s="72" t="s">
        <v>226</v>
      </c>
      <c r="C1579" s="72" t="s">
        <v>227</v>
      </c>
      <c r="D1579" s="72" t="s">
        <v>228</v>
      </c>
      <c r="E1579" s="73" t="s">
        <v>229</v>
      </c>
    </row>
    <row r="1580" spans="1:5" x14ac:dyDescent="0.25">
      <c r="A1580" s="74" t="s">
        <v>1082</v>
      </c>
      <c r="B1580" s="75">
        <f>INSUMOS!B128</f>
        <v>120000</v>
      </c>
      <c r="C1580" s="103">
        <v>1</v>
      </c>
      <c r="D1580" s="75">
        <f>C1580*B1580</f>
        <v>120000</v>
      </c>
      <c r="E1580" s="102">
        <f>INSUMOS!E128</f>
        <v>0.97</v>
      </c>
    </row>
    <row r="1581" spans="1:5" x14ac:dyDescent="0.25">
      <c r="A1581" s="77" t="s">
        <v>1083</v>
      </c>
      <c r="B1581" s="78">
        <f>INSUMOS!B241</f>
        <v>250000</v>
      </c>
      <c r="C1581" s="98">
        <v>1</v>
      </c>
      <c r="D1581" s="75">
        <f>C1581*B1581</f>
        <v>250000</v>
      </c>
      <c r="E1581" s="97">
        <f>INSUMOS!E241</f>
        <v>4</v>
      </c>
    </row>
    <row r="1582" spans="1:5" x14ac:dyDescent="0.25">
      <c r="A1582" s="77" t="s">
        <v>651</v>
      </c>
      <c r="B1582" s="78">
        <f>INSUMOS!B286</f>
        <v>50000</v>
      </c>
      <c r="C1582" s="98">
        <v>1</v>
      </c>
      <c r="D1582" s="75">
        <f>C1582*B1582</f>
        <v>50000</v>
      </c>
      <c r="E1582" s="105"/>
    </row>
    <row r="1583" spans="1:5" x14ac:dyDescent="0.25">
      <c r="A1583" s="77" t="s">
        <v>652</v>
      </c>
      <c r="B1583" s="78">
        <f>INSUMOS!B300</f>
        <v>30000</v>
      </c>
      <c r="C1583" s="98">
        <v>1</v>
      </c>
      <c r="D1583" s="75">
        <f>C1583*B1583</f>
        <v>30000</v>
      </c>
      <c r="E1583" s="105"/>
    </row>
    <row r="1584" spans="1:5" x14ac:dyDescent="0.25">
      <c r="A1584" s="82"/>
      <c r="B1584" s="83"/>
      <c r="C1584" s="83" t="s">
        <v>122</v>
      </c>
      <c r="D1584" s="83">
        <f>SUM(D1580:D1583)</f>
        <v>450000</v>
      </c>
      <c r="E1584" s="100">
        <f>SUM(E1580:E1583)</f>
        <v>4.97</v>
      </c>
    </row>
    <row r="1586" spans="1:5" x14ac:dyDescent="0.25">
      <c r="A1586" s="279" t="s">
        <v>1084</v>
      </c>
      <c r="B1586" s="279"/>
      <c r="C1586" s="279"/>
      <c r="D1586" s="279"/>
      <c r="E1586" s="279"/>
    </row>
    <row r="1587" spans="1:5" x14ac:dyDescent="0.25">
      <c r="A1587" s="72" t="s">
        <v>92</v>
      </c>
      <c r="B1587" s="72" t="s">
        <v>226</v>
      </c>
      <c r="C1587" s="72" t="s">
        <v>227</v>
      </c>
      <c r="D1587" s="72" t="s">
        <v>228</v>
      </c>
      <c r="E1587" s="73" t="s">
        <v>229</v>
      </c>
    </row>
    <row r="1588" spans="1:5" x14ac:dyDescent="0.25">
      <c r="A1588" s="74" t="s">
        <v>1057</v>
      </c>
      <c r="B1588" s="75">
        <f>INSUMOS!B137</f>
        <v>156000</v>
      </c>
      <c r="C1588" s="103">
        <v>1</v>
      </c>
      <c r="D1588" s="75">
        <f>C1588*B1588</f>
        <v>156000</v>
      </c>
      <c r="E1588" s="102">
        <f>INSUMOS!E137</f>
        <v>0.97</v>
      </c>
    </row>
    <row r="1589" spans="1:5" x14ac:dyDescent="0.25">
      <c r="A1589" s="77" t="s">
        <v>1085</v>
      </c>
      <c r="B1589" s="78">
        <f>INSUMOS!B247</f>
        <v>325000</v>
      </c>
      <c r="C1589" s="98">
        <v>1</v>
      </c>
      <c r="D1589" s="75">
        <f>C1589*B1589</f>
        <v>325000</v>
      </c>
      <c r="E1589" s="97">
        <f>INSUMOS!E247</f>
        <v>4</v>
      </c>
    </row>
    <row r="1590" spans="1:5" x14ac:dyDescent="0.25">
      <c r="A1590" s="77" t="s">
        <v>651</v>
      </c>
      <c r="B1590" s="78">
        <f>INSUMOS!B286</f>
        <v>50000</v>
      </c>
      <c r="C1590" s="98">
        <v>1</v>
      </c>
      <c r="D1590" s="75">
        <f>C1590*B1590</f>
        <v>50000</v>
      </c>
      <c r="E1590" s="105"/>
    </row>
    <row r="1591" spans="1:5" x14ac:dyDescent="0.25">
      <c r="A1591" s="77" t="s">
        <v>652</v>
      </c>
      <c r="B1591" s="78">
        <f>INSUMOS!B300</f>
        <v>30000</v>
      </c>
      <c r="C1591" s="98">
        <v>1</v>
      </c>
      <c r="D1591" s="75">
        <f>C1591*B1591</f>
        <v>30000</v>
      </c>
      <c r="E1591" s="105"/>
    </row>
    <row r="1592" spans="1:5" x14ac:dyDescent="0.25">
      <c r="A1592" s="82"/>
      <c r="B1592" s="83"/>
      <c r="C1592" s="83" t="s">
        <v>122</v>
      </c>
      <c r="D1592" s="83">
        <f>SUM(D1588:D1591)</f>
        <v>561000</v>
      </c>
      <c r="E1592" s="100">
        <f>SUM(E1588:E1591)</f>
        <v>4.97</v>
      </c>
    </row>
    <row r="1594" spans="1:5" x14ac:dyDescent="0.25">
      <c r="A1594" s="279" t="s">
        <v>1086</v>
      </c>
      <c r="B1594" s="279"/>
      <c r="C1594" s="279"/>
      <c r="D1594" s="279"/>
      <c r="E1594" s="279"/>
    </row>
    <row r="1595" spans="1:5" x14ac:dyDescent="0.25">
      <c r="A1595" s="72" t="s">
        <v>92</v>
      </c>
      <c r="B1595" s="72" t="s">
        <v>93</v>
      </c>
      <c r="C1595" s="72" t="s">
        <v>227</v>
      </c>
      <c r="D1595" s="72" t="s">
        <v>228</v>
      </c>
      <c r="E1595" s="114" t="s">
        <v>229</v>
      </c>
    </row>
    <row r="1596" spans="1:5" x14ac:dyDescent="0.25">
      <c r="A1596" s="74" t="s">
        <v>963</v>
      </c>
      <c r="B1596" s="75">
        <f>INSUMOS!B196</f>
        <v>1500000</v>
      </c>
      <c r="C1596" s="103">
        <v>1</v>
      </c>
      <c r="D1596" s="75">
        <f t="shared" ref="D1596:D1601" si="39">C1596*B1596</f>
        <v>1500000</v>
      </c>
      <c r="E1596" s="102">
        <f>INSUMOS!E196</f>
        <v>115</v>
      </c>
    </row>
    <row r="1597" spans="1:5" x14ac:dyDescent="0.25">
      <c r="A1597" s="77" t="s">
        <v>766</v>
      </c>
      <c r="B1597" s="78">
        <f>INSUMOS!B235</f>
        <v>340000</v>
      </c>
      <c r="C1597" s="98">
        <v>1</v>
      </c>
      <c r="D1597" s="75">
        <f t="shared" si="39"/>
        <v>340000</v>
      </c>
      <c r="E1597" s="97">
        <f>INSUMOS!E235</f>
        <v>8</v>
      </c>
    </row>
    <row r="1598" spans="1:5" x14ac:dyDescent="0.25">
      <c r="A1598" s="77" t="s">
        <v>964</v>
      </c>
      <c r="B1598" s="78">
        <f>INSUMOS!B420</f>
        <v>650000</v>
      </c>
      <c r="C1598" s="98">
        <v>1</v>
      </c>
      <c r="D1598" s="75">
        <f t="shared" si="39"/>
        <v>650000</v>
      </c>
      <c r="E1598" s="112"/>
    </row>
    <row r="1599" spans="1:5" x14ac:dyDescent="0.25">
      <c r="A1599" s="77" t="s">
        <v>965</v>
      </c>
      <c r="B1599" s="78">
        <f>INSUMOS!B383</f>
        <v>400000</v>
      </c>
      <c r="C1599" s="98">
        <v>1</v>
      </c>
      <c r="D1599" s="75">
        <f t="shared" si="39"/>
        <v>400000</v>
      </c>
      <c r="E1599" s="105"/>
    </row>
    <row r="1600" spans="1:5" x14ac:dyDescent="0.25">
      <c r="A1600" s="77" t="s">
        <v>1087</v>
      </c>
      <c r="B1600" s="78">
        <f>INSUMOS!B394</f>
        <v>170000</v>
      </c>
      <c r="C1600" s="98">
        <v>1</v>
      </c>
      <c r="D1600" s="75">
        <f t="shared" si="39"/>
        <v>170000</v>
      </c>
      <c r="E1600" s="105"/>
    </row>
    <row r="1601" spans="1:5" x14ac:dyDescent="0.25">
      <c r="A1601" s="77" t="s">
        <v>966</v>
      </c>
      <c r="B1601" s="78">
        <f>INSUMOS!B332</f>
        <v>160000</v>
      </c>
      <c r="C1601" s="98">
        <v>1</v>
      </c>
      <c r="D1601" s="75">
        <f t="shared" si="39"/>
        <v>160000</v>
      </c>
      <c r="E1601" s="105"/>
    </row>
    <row r="1602" spans="1:5" x14ac:dyDescent="0.25">
      <c r="A1602" s="82"/>
      <c r="B1602" s="83"/>
      <c r="C1602" s="83" t="s">
        <v>122</v>
      </c>
      <c r="D1602" s="83">
        <f>SUM(D1596:D1601)</f>
        <v>3220000</v>
      </c>
      <c r="E1602" s="100">
        <f>SUM(E1596:E1601)</f>
        <v>123</v>
      </c>
    </row>
    <row r="1604" spans="1:5" x14ac:dyDescent="0.25">
      <c r="A1604" s="279" t="s">
        <v>1088</v>
      </c>
      <c r="B1604" s="279"/>
      <c r="C1604" s="279"/>
      <c r="D1604" s="279"/>
      <c r="E1604" s="279"/>
    </row>
    <row r="1605" spans="1:5" x14ac:dyDescent="0.25">
      <c r="A1605" s="72" t="s">
        <v>92</v>
      </c>
      <c r="B1605" s="72" t="s">
        <v>226</v>
      </c>
      <c r="C1605" s="72" t="s">
        <v>227</v>
      </c>
      <c r="D1605" s="72" t="s">
        <v>228</v>
      </c>
      <c r="E1605" s="73" t="s">
        <v>229</v>
      </c>
    </row>
    <row r="1606" spans="1:5" x14ac:dyDescent="0.25">
      <c r="A1606" s="74" t="s">
        <v>905</v>
      </c>
      <c r="B1606" s="75">
        <f>INSUMOS!B167</f>
        <v>455000</v>
      </c>
      <c r="C1606" s="103">
        <v>1</v>
      </c>
      <c r="D1606" s="75">
        <f>C1606*B1606</f>
        <v>455000</v>
      </c>
      <c r="E1606" s="102">
        <f>INSUMOS!E1187</f>
        <v>0</v>
      </c>
    </row>
    <row r="1607" spans="1:5" x14ac:dyDescent="0.25">
      <c r="A1607" s="77" t="s">
        <v>854</v>
      </c>
      <c r="B1607" s="78">
        <f>INSUMOS!B216</f>
        <v>310000</v>
      </c>
      <c r="C1607" s="98">
        <v>1</v>
      </c>
      <c r="D1607" s="75">
        <f>C1607*B1607</f>
        <v>310000</v>
      </c>
      <c r="E1607" s="97">
        <f>INSUMOS!E1237</f>
        <v>0</v>
      </c>
    </row>
    <row r="1608" spans="1:5" x14ac:dyDescent="0.25">
      <c r="A1608" s="77" t="s">
        <v>736</v>
      </c>
      <c r="B1608" s="78">
        <f>INSUMOS!B354</f>
        <v>530000</v>
      </c>
      <c r="C1608" s="98">
        <v>1</v>
      </c>
      <c r="D1608" s="75">
        <f>C1608*B1608</f>
        <v>530000</v>
      </c>
      <c r="E1608" s="105" t="s">
        <v>232</v>
      </c>
    </row>
    <row r="1609" spans="1:5" x14ac:dyDescent="0.25">
      <c r="A1609" s="77" t="s">
        <v>750</v>
      </c>
      <c r="B1609" s="78">
        <f>INSUMOS!B373</f>
        <v>180000</v>
      </c>
      <c r="C1609" s="98">
        <v>1</v>
      </c>
      <c r="D1609" s="75">
        <f>C1609*B1609</f>
        <v>180000</v>
      </c>
      <c r="E1609" s="105"/>
    </row>
    <row r="1610" spans="1:5" x14ac:dyDescent="0.25">
      <c r="A1610" s="77" t="s">
        <v>737</v>
      </c>
      <c r="B1610" s="78">
        <f>INSUMOS!B317</f>
        <v>100000</v>
      </c>
      <c r="C1610" s="98">
        <v>1</v>
      </c>
      <c r="D1610" s="75">
        <f>C1610*B1610</f>
        <v>100000</v>
      </c>
      <c r="E1610" s="105"/>
    </row>
    <row r="1611" spans="1:5" x14ac:dyDescent="0.25">
      <c r="A1611" s="82"/>
      <c r="B1611" s="83"/>
      <c r="C1611" s="83" t="s">
        <v>122</v>
      </c>
      <c r="D1611" s="83">
        <f>SUM(D1606:D1610)</f>
        <v>1575000</v>
      </c>
      <c r="E1611" s="100">
        <f>SUM(E1606:E1610)</f>
        <v>0</v>
      </c>
    </row>
    <row r="1613" spans="1:5" x14ac:dyDescent="0.25">
      <c r="A1613" s="279" t="s">
        <v>1089</v>
      </c>
      <c r="B1613" s="279"/>
      <c r="C1613" s="279"/>
      <c r="D1613" s="279"/>
      <c r="E1613" s="279"/>
    </row>
    <row r="1614" spans="1:5" x14ac:dyDescent="0.25">
      <c r="A1614" s="72" t="s">
        <v>92</v>
      </c>
      <c r="B1614" s="72" t="s">
        <v>226</v>
      </c>
      <c r="C1614" s="72" t="s">
        <v>227</v>
      </c>
      <c r="D1614" s="72" t="s">
        <v>228</v>
      </c>
      <c r="E1614" s="73" t="s">
        <v>229</v>
      </c>
    </row>
    <row r="1615" spans="1:5" x14ac:dyDescent="0.25">
      <c r="A1615" s="74" t="s">
        <v>813</v>
      </c>
      <c r="B1615" s="75">
        <f>INSUMOS!B162</f>
        <v>168000</v>
      </c>
      <c r="C1615" s="103">
        <v>1</v>
      </c>
      <c r="D1615" s="75">
        <f>C1615*B1615</f>
        <v>168000</v>
      </c>
      <c r="E1615" s="102">
        <f>INSUMOS!E162</f>
        <v>3.2</v>
      </c>
    </row>
    <row r="1616" spans="1:5" x14ac:dyDescent="0.25">
      <c r="A1616" s="77" t="s">
        <v>671</v>
      </c>
      <c r="B1616" s="78">
        <f>INSUMOS!B16</f>
        <v>240000</v>
      </c>
      <c r="C1616" s="98">
        <v>0.2</v>
      </c>
      <c r="D1616" s="75">
        <f>C1616*B1616</f>
        <v>48000</v>
      </c>
      <c r="E1616" s="97">
        <f>C1616*INSUMOS!E16</f>
        <v>3.1821229687322856</v>
      </c>
    </row>
    <row r="1617" spans="1:5" x14ac:dyDescent="0.25">
      <c r="A1617" s="77" t="s">
        <v>659</v>
      </c>
      <c r="B1617" s="78">
        <f>INSUMOS!B297</f>
        <v>200000</v>
      </c>
      <c r="C1617" s="98">
        <v>1</v>
      </c>
      <c r="D1617" s="75">
        <f>C1617*B1617</f>
        <v>200000</v>
      </c>
      <c r="E1617" s="105" t="s">
        <v>232</v>
      </c>
    </row>
    <row r="1618" spans="1:5" x14ac:dyDescent="0.25">
      <c r="A1618" s="77" t="s">
        <v>692</v>
      </c>
      <c r="B1618" s="78">
        <f>INSUMOS!B349</f>
        <v>120000</v>
      </c>
      <c r="C1618" s="98">
        <v>1</v>
      </c>
      <c r="D1618" s="75">
        <f>C1618*B1618</f>
        <v>120000</v>
      </c>
      <c r="E1618" s="105"/>
    </row>
    <row r="1619" spans="1:5" x14ac:dyDescent="0.25">
      <c r="A1619" s="77" t="s">
        <v>693</v>
      </c>
      <c r="B1619" s="78">
        <f>INSUMOS!B312</f>
        <v>45000</v>
      </c>
      <c r="C1619" s="98">
        <v>1</v>
      </c>
      <c r="D1619" s="75">
        <f>C1619*B1619</f>
        <v>45000</v>
      </c>
      <c r="E1619" s="105"/>
    </row>
    <row r="1620" spans="1:5" x14ac:dyDescent="0.25">
      <c r="A1620" s="82"/>
      <c r="B1620" s="83"/>
      <c r="C1620" s="83" t="s">
        <v>122</v>
      </c>
      <c r="D1620" s="83">
        <f>SUM(D1615:D1619)</f>
        <v>581000</v>
      </c>
      <c r="E1620" s="100">
        <f>SUM(E1615:E1619)</f>
        <v>6.3821229687322862</v>
      </c>
    </row>
    <row r="1622" spans="1:5" x14ac:dyDescent="0.25">
      <c r="A1622" s="279" t="s">
        <v>1090</v>
      </c>
      <c r="B1622" s="279"/>
      <c r="C1622" s="279"/>
      <c r="D1622" s="279"/>
      <c r="E1622" s="279"/>
    </row>
    <row r="1623" spans="1:5" x14ac:dyDescent="0.25">
      <c r="A1623" s="72" t="s">
        <v>92</v>
      </c>
      <c r="B1623" s="72" t="s">
        <v>226</v>
      </c>
      <c r="C1623" s="72" t="s">
        <v>227</v>
      </c>
      <c r="D1623" s="72" t="s">
        <v>228</v>
      </c>
      <c r="E1623" s="73" t="s">
        <v>229</v>
      </c>
    </row>
    <row r="1624" spans="1:5" x14ac:dyDescent="0.25">
      <c r="A1624" s="74" t="s">
        <v>891</v>
      </c>
      <c r="B1624" s="75">
        <f>INSUMOS!B149</f>
        <v>150000</v>
      </c>
      <c r="C1624" s="103">
        <v>1</v>
      </c>
      <c r="D1624" s="75">
        <f>C1624*B1624</f>
        <v>150000</v>
      </c>
      <c r="E1624" s="102">
        <f>INSUMOS!E149</f>
        <v>4.8</v>
      </c>
    </row>
    <row r="1625" spans="1:5" x14ac:dyDescent="0.25">
      <c r="A1625" s="77" t="s">
        <v>1091</v>
      </c>
      <c r="B1625" s="78">
        <f>INSUMOS!B208</f>
        <v>260000</v>
      </c>
      <c r="C1625" s="98">
        <v>1</v>
      </c>
      <c r="D1625" s="75">
        <f>C1625*B1625</f>
        <v>260000</v>
      </c>
      <c r="E1625" s="97">
        <f>INSUMOS!E208</f>
        <v>5</v>
      </c>
    </row>
    <row r="1626" spans="1:5" x14ac:dyDescent="0.25">
      <c r="A1626" s="77" t="s">
        <v>676</v>
      </c>
      <c r="B1626" s="78">
        <f>INSUMOS!B350</f>
        <v>150000</v>
      </c>
      <c r="C1626" s="98">
        <v>1</v>
      </c>
      <c r="D1626" s="75">
        <f>C1626*B1626</f>
        <v>150000</v>
      </c>
      <c r="E1626" s="105"/>
    </row>
    <row r="1627" spans="1:5" x14ac:dyDescent="0.25">
      <c r="A1627" s="77" t="s">
        <v>677</v>
      </c>
      <c r="B1627" s="78">
        <f>INSUMOS!B313</f>
        <v>50000</v>
      </c>
      <c r="C1627" s="98">
        <v>1</v>
      </c>
      <c r="D1627" s="75">
        <f>C1627*B1627</f>
        <v>50000</v>
      </c>
      <c r="E1627" s="105"/>
    </row>
    <row r="1628" spans="1:5" x14ac:dyDescent="0.25">
      <c r="A1628" s="82"/>
      <c r="B1628" s="83"/>
      <c r="C1628" s="83" t="s">
        <v>122</v>
      </c>
      <c r="D1628" s="83">
        <f>SUM(D1624:D1627)</f>
        <v>610000</v>
      </c>
      <c r="E1628" s="100">
        <f>SUM(E1624:E1627)</f>
        <v>9.8000000000000007</v>
      </c>
    </row>
    <row r="1630" spans="1:5" x14ac:dyDescent="0.25">
      <c r="A1630" s="279" t="s">
        <v>1092</v>
      </c>
      <c r="B1630" s="279"/>
      <c r="C1630" s="279"/>
      <c r="D1630" s="279"/>
      <c r="E1630" s="279"/>
    </row>
    <row r="1631" spans="1:5" x14ac:dyDescent="0.25">
      <c r="A1631" s="72" t="s">
        <v>92</v>
      </c>
      <c r="B1631" s="72" t="s">
        <v>226</v>
      </c>
      <c r="C1631" s="72" t="s">
        <v>227</v>
      </c>
      <c r="D1631" s="72" t="s">
        <v>228</v>
      </c>
      <c r="E1631" s="73" t="s">
        <v>229</v>
      </c>
    </row>
    <row r="1632" spans="1:5" x14ac:dyDescent="0.25">
      <c r="A1632" s="74" t="s">
        <v>1093</v>
      </c>
      <c r="B1632" s="75">
        <f>INSUMOS!B133</f>
        <v>230000</v>
      </c>
      <c r="C1632" s="103">
        <v>1</v>
      </c>
      <c r="D1632" s="75">
        <f>C1632*B1632</f>
        <v>230000</v>
      </c>
      <c r="E1632" s="102">
        <f>INSUMOS!E1696</f>
        <v>0</v>
      </c>
    </row>
    <row r="1633" spans="1:6" x14ac:dyDescent="0.25">
      <c r="A1633" s="77" t="s">
        <v>696</v>
      </c>
      <c r="B1633" s="78">
        <f>INSUMOS!B7</f>
        <v>461000</v>
      </c>
      <c r="C1633" s="98">
        <v>0.15</v>
      </c>
      <c r="D1633" s="75">
        <f>C1633*B1633</f>
        <v>69150</v>
      </c>
      <c r="E1633" s="97">
        <f>C1633*INSUMOS!E7</f>
        <v>5.3698325097357316</v>
      </c>
    </row>
    <row r="1634" spans="1:6" x14ac:dyDescent="0.25">
      <c r="A1634" s="77" t="s">
        <v>697</v>
      </c>
      <c r="B1634" s="78">
        <f>INSUMOS!B298</f>
        <v>250000</v>
      </c>
      <c r="C1634" s="98">
        <v>1</v>
      </c>
      <c r="D1634" s="75">
        <f>C1634*B1634</f>
        <v>250000</v>
      </c>
      <c r="E1634" s="105" t="s">
        <v>232</v>
      </c>
    </row>
    <row r="1635" spans="1:6" x14ac:dyDescent="0.25">
      <c r="A1635" s="77" t="s">
        <v>698</v>
      </c>
      <c r="B1635" s="78">
        <f>INSUMOS!B291</f>
        <v>160000</v>
      </c>
      <c r="C1635" s="98">
        <v>1</v>
      </c>
      <c r="D1635" s="75">
        <f>C1635*B1635</f>
        <v>160000</v>
      </c>
      <c r="E1635" s="105"/>
    </row>
    <row r="1636" spans="1:6" x14ac:dyDescent="0.25">
      <c r="A1636" s="77" t="s">
        <v>699</v>
      </c>
      <c r="B1636" s="78">
        <f>INSUMOS!B305</f>
        <v>70000</v>
      </c>
      <c r="C1636" s="98">
        <v>1</v>
      </c>
      <c r="D1636" s="75">
        <f>C1636*B1636</f>
        <v>70000</v>
      </c>
      <c r="E1636" s="105"/>
    </row>
    <row r="1637" spans="1:6" x14ac:dyDescent="0.25">
      <c r="A1637" s="82"/>
      <c r="B1637" s="83"/>
      <c r="C1637" s="83" t="s">
        <v>122</v>
      </c>
      <c r="D1637" s="83">
        <f>SUM(D1632:D1636)</f>
        <v>779150</v>
      </c>
      <c r="E1637" s="100">
        <f>SUM(E1632:E1636)</f>
        <v>5.3698325097357316</v>
      </c>
    </row>
    <row r="1639" spans="1:6" x14ac:dyDescent="0.25">
      <c r="A1639" s="279" t="s">
        <v>1094</v>
      </c>
      <c r="B1639" s="279"/>
      <c r="C1639" s="279"/>
      <c r="D1639" s="279"/>
      <c r="E1639" s="279"/>
    </row>
    <row r="1640" spans="1:6" x14ac:dyDescent="0.25">
      <c r="A1640" s="72" t="s">
        <v>92</v>
      </c>
      <c r="B1640" s="72" t="s">
        <v>226</v>
      </c>
      <c r="C1640" s="72" t="s">
        <v>227</v>
      </c>
      <c r="D1640" s="72" t="s">
        <v>228</v>
      </c>
      <c r="E1640" s="73" t="s">
        <v>229</v>
      </c>
    </row>
    <row r="1641" spans="1:6" x14ac:dyDescent="0.25">
      <c r="A1641" s="74" t="s">
        <v>691</v>
      </c>
      <c r="B1641" s="75">
        <f>INSUMOS!B148</f>
        <v>120000</v>
      </c>
      <c r="C1641" s="103">
        <v>1</v>
      </c>
      <c r="D1641" s="75">
        <f>C1641*B1641</f>
        <v>120000</v>
      </c>
      <c r="E1641" s="102">
        <f>INSUMOS!E148</f>
        <v>3.2</v>
      </c>
    </row>
    <row r="1642" spans="1:6" x14ac:dyDescent="0.25">
      <c r="A1642" s="77" t="s">
        <v>1095</v>
      </c>
      <c r="B1642" s="78">
        <f>INSUMOS!B206</f>
        <v>230000</v>
      </c>
      <c r="C1642" s="98">
        <v>1</v>
      </c>
      <c r="D1642" s="75">
        <f>C1642*B1642</f>
        <v>230000</v>
      </c>
      <c r="E1642" s="105">
        <f>INSUMOS!E206</f>
        <v>3</v>
      </c>
      <c r="F1642" t="s">
        <v>1096</v>
      </c>
    </row>
    <row r="1643" spans="1:6" x14ac:dyDescent="0.25">
      <c r="A1643" s="77" t="s">
        <v>692</v>
      </c>
      <c r="B1643" s="78">
        <f>INSUMOS!B349</f>
        <v>120000</v>
      </c>
      <c r="C1643" s="98">
        <v>1</v>
      </c>
      <c r="D1643" s="75">
        <f>C1643*B1643</f>
        <v>120000</v>
      </c>
      <c r="E1643" s="105"/>
    </row>
    <row r="1644" spans="1:6" x14ac:dyDescent="0.25">
      <c r="A1644" s="77" t="s">
        <v>693</v>
      </c>
      <c r="B1644" s="78">
        <f>INSUMOS!B312</f>
        <v>45000</v>
      </c>
      <c r="C1644" s="98">
        <v>1</v>
      </c>
      <c r="D1644" s="75">
        <f>C1644*B1644</f>
        <v>45000</v>
      </c>
      <c r="E1644" s="105"/>
    </row>
    <row r="1645" spans="1:6" x14ac:dyDescent="0.25">
      <c r="A1645" s="82"/>
      <c r="B1645" s="83"/>
      <c r="C1645" s="83" t="s">
        <v>122</v>
      </c>
      <c r="D1645" s="83">
        <f>SUM(D1641:D1644)</f>
        <v>515000</v>
      </c>
      <c r="E1645" s="100">
        <f>SUM(E1641:E1644)</f>
        <v>6.2</v>
      </c>
    </row>
    <row r="1647" spans="1:6" x14ac:dyDescent="0.25">
      <c r="A1647" s="279" t="s">
        <v>1097</v>
      </c>
      <c r="B1647" s="279"/>
      <c r="C1647" s="279"/>
      <c r="D1647" s="279"/>
      <c r="E1647" s="279"/>
    </row>
    <row r="1648" spans="1:6" x14ac:dyDescent="0.25">
      <c r="A1648" s="72" t="s">
        <v>92</v>
      </c>
      <c r="B1648" s="72" t="s">
        <v>226</v>
      </c>
      <c r="C1648" s="72" t="s">
        <v>227</v>
      </c>
      <c r="D1648" s="72" t="s">
        <v>228</v>
      </c>
      <c r="E1648" s="73" t="s">
        <v>229</v>
      </c>
    </row>
    <row r="1649" spans="1:5" x14ac:dyDescent="0.25">
      <c r="A1649" s="74" t="s">
        <v>865</v>
      </c>
      <c r="B1649" s="75">
        <f>INSUMOS!B152</f>
        <v>230000</v>
      </c>
      <c r="C1649" s="103">
        <v>1</v>
      </c>
      <c r="D1649" s="75">
        <f>C1649*B1649</f>
        <v>230000</v>
      </c>
      <c r="E1649" s="102">
        <f>INSUMOS!E152</f>
        <v>11.3</v>
      </c>
    </row>
    <row r="1650" spans="1:5" x14ac:dyDescent="0.25">
      <c r="A1650" s="77" t="s">
        <v>1098</v>
      </c>
      <c r="B1650" s="78">
        <f>INSUMOS!B207</f>
        <v>240000</v>
      </c>
      <c r="C1650" s="98">
        <v>1</v>
      </c>
      <c r="D1650" s="75">
        <f>C1650*B1650</f>
        <v>240000</v>
      </c>
      <c r="E1650" s="97">
        <f>INSUMOS!E207</f>
        <v>4</v>
      </c>
    </row>
    <row r="1651" spans="1:5" x14ac:dyDescent="0.25">
      <c r="A1651" s="77" t="s">
        <v>731</v>
      </c>
      <c r="B1651" s="78">
        <f>INSUMOS!B353</f>
        <v>250000</v>
      </c>
      <c r="C1651" s="98">
        <v>1</v>
      </c>
      <c r="D1651" s="75">
        <f>C1651*B1651</f>
        <v>250000</v>
      </c>
      <c r="E1651" s="105"/>
    </row>
    <row r="1652" spans="1:5" x14ac:dyDescent="0.25">
      <c r="A1652" s="77" t="s">
        <v>732</v>
      </c>
      <c r="B1652" s="78">
        <f>INSUMOS!B316</f>
        <v>80000</v>
      </c>
      <c r="C1652" s="98">
        <v>1</v>
      </c>
      <c r="D1652" s="75">
        <f>C1652*B1652</f>
        <v>80000</v>
      </c>
      <c r="E1652" s="105"/>
    </row>
    <row r="1653" spans="1:5" x14ac:dyDescent="0.25">
      <c r="A1653" s="82"/>
      <c r="B1653" s="83"/>
      <c r="C1653" s="83" t="s">
        <v>122</v>
      </c>
      <c r="D1653" s="83">
        <f>SUM(D1649:D1652)</f>
        <v>800000</v>
      </c>
      <c r="E1653" s="100">
        <f>SUM(E1649:E1652)</f>
        <v>15.3</v>
      </c>
    </row>
    <row r="1655" spans="1:5" x14ac:dyDescent="0.25">
      <c r="A1655" s="279" t="s">
        <v>1099</v>
      </c>
      <c r="B1655" s="279"/>
      <c r="C1655" s="279"/>
      <c r="D1655" s="279"/>
      <c r="E1655" s="279"/>
    </row>
    <row r="1656" spans="1:5" x14ac:dyDescent="0.25">
      <c r="A1656" s="72" t="s">
        <v>92</v>
      </c>
      <c r="B1656" s="72" t="s">
        <v>93</v>
      </c>
      <c r="C1656" s="72" t="s">
        <v>227</v>
      </c>
      <c r="D1656" s="72" t="s">
        <v>228</v>
      </c>
      <c r="E1656" s="114" t="s">
        <v>229</v>
      </c>
    </row>
    <row r="1657" spans="1:5" x14ac:dyDescent="0.25">
      <c r="A1657" s="74" t="s">
        <v>1100</v>
      </c>
      <c r="B1657" s="75">
        <f>INSUMOS!B177</f>
        <v>620000</v>
      </c>
      <c r="C1657" s="103">
        <v>1</v>
      </c>
      <c r="D1657" s="75">
        <f t="shared" ref="D1657:D1662" si="40">C1657*B1657</f>
        <v>620000</v>
      </c>
      <c r="E1657" s="102">
        <f>INSUMOS!E177</f>
        <v>30</v>
      </c>
    </row>
    <row r="1658" spans="1:5" x14ac:dyDescent="0.25">
      <c r="A1658" s="77" t="s">
        <v>876</v>
      </c>
      <c r="B1658" s="78">
        <f>INSUMOS!B223</f>
        <v>230000</v>
      </c>
      <c r="C1658" s="98">
        <v>1</v>
      </c>
      <c r="D1658" s="75">
        <f t="shared" si="40"/>
        <v>230000</v>
      </c>
      <c r="E1658" s="97">
        <f>INSUMOS!E223</f>
        <v>8</v>
      </c>
    </row>
    <row r="1659" spans="1:5" x14ac:dyDescent="0.25">
      <c r="A1659" s="77" t="s">
        <v>990</v>
      </c>
      <c r="B1659" s="78">
        <f>INSUMOS!B405</f>
        <v>90000</v>
      </c>
      <c r="C1659" s="98">
        <v>1</v>
      </c>
      <c r="D1659" s="75">
        <f t="shared" si="40"/>
        <v>90000</v>
      </c>
      <c r="E1659" s="97"/>
    </row>
    <row r="1660" spans="1:5" x14ac:dyDescent="0.25">
      <c r="A1660" s="77" t="s">
        <v>1101</v>
      </c>
      <c r="B1660" s="78">
        <f>INSUMOS!B367</f>
        <v>530000</v>
      </c>
      <c r="C1660" s="98">
        <v>1</v>
      </c>
      <c r="D1660" s="75">
        <f t="shared" si="40"/>
        <v>530000</v>
      </c>
      <c r="E1660" s="105" t="s">
        <v>232</v>
      </c>
    </row>
    <row r="1661" spans="1:5" x14ac:dyDescent="0.25">
      <c r="A1661" s="77" t="s">
        <v>1102</v>
      </c>
      <c r="B1661" s="78">
        <f>INSUMOS!B387</f>
        <v>50000</v>
      </c>
      <c r="C1661" s="98">
        <v>1</v>
      </c>
      <c r="D1661" s="75">
        <f t="shared" si="40"/>
        <v>50000</v>
      </c>
      <c r="E1661" s="105"/>
    </row>
    <row r="1662" spans="1:5" x14ac:dyDescent="0.25">
      <c r="A1662" s="77" t="s">
        <v>1103</v>
      </c>
      <c r="B1662" s="78">
        <f>INSUMOS!B341</f>
        <v>150000</v>
      </c>
      <c r="C1662" s="98">
        <v>1</v>
      </c>
      <c r="D1662" s="75">
        <f t="shared" si="40"/>
        <v>150000</v>
      </c>
      <c r="E1662" s="105"/>
    </row>
    <row r="1663" spans="1:5" x14ac:dyDescent="0.25">
      <c r="A1663" s="82"/>
      <c r="B1663" s="83"/>
      <c r="C1663" s="83" t="s">
        <v>122</v>
      </c>
      <c r="D1663" s="83">
        <f>SUM(D1657:D1662)</f>
        <v>1670000</v>
      </c>
      <c r="E1663" s="100">
        <f>SUM(E1657:E1662)</f>
        <v>38</v>
      </c>
    </row>
    <row r="1665" spans="1:5" x14ac:dyDescent="0.25">
      <c r="A1665" s="279" t="s">
        <v>1104</v>
      </c>
      <c r="B1665" s="279"/>
      <c r="C1665" s="279"/>
      <c r="D1665" s="279"/>
      <c r="E1665" s="279"/>
    </row>
    <row r="1666" spans="1:5" x14ac:dyDescent="0.25">
      <c r="A1666" s="72" t="s">
        <v>92</v>
      </c>
      <c r="B1666" s="72" t="s">
        <v>226</v>
      </c>
      <c r="C1666" s="72" t="s">
        <v>227</v>
      </c>
      <c r="D1666" s="72" t="s">
        <v>228</v>
      </c>
      <c r="E1666" s="73" t="s">
        <v>229</v>
      </c>
    </row>
    <row r="1667" spans="1:5" x14ac:dyDescent="0.25">
      <c r="A1667" s="74" t="s">
        <v>1105</v>
      </c>
      <c r="B1667" s="75">
        <f>INSUMOS!B145</f>
        <v>410000</v>
      </c>
      <c r="C1667" s="103">
        <v>1</v>
      </c>
      <c r="D1667" s="75">
        <f>C1667*B1667</f>
        <v>410000</v>
      </c>
      <c r="E1667" s="102">
        <f>INSUMOS!E145</f>
        <v>18</v>
      </c>
    </row>
    <row r="1668" spans="1:5" x14ac:dyDescent="0.25">
      <c r="A1668" s="77" t="s">
        <v>1106</v>
      </c>
      <c r="B1668" s="78">
        <f>INSUMOS!B216</f>
        <v>310000</v>
      </c>
      <c r="C1668" s="98">
        <v>1</v>
      </c>
      <c r="D1668" s="75">
        <f>C1668*B1668</f>
        <v>310000</v>
      </c>
      <c r="E1668" s="97">
        <f>INSUMOS!E216</f>
        <v>7</v>
      </c>
    </row>
    <row r="1669" spans="1:5" x14ac:dyDescent="0.25">
      <c r="A1669" s="77" t="s">
        <v>1107</v>
      </c>
      <c r="B1669" s="78">
        <f>INSUMOS!B309</f>
        <v>120000</v>
      </c>
      <c r="C1669" s="98">
        <v>1</v>
      </c>
      <c r="D1669" s="75">
        <f>C1669*B1669</f>
        <v>120000</v>
      </c>
      <c r="E1669" s="105" t="s">
        <v>232</v>
      </c>
    </row>
    <row r="1670" spans="1:5" x14ac:dyDescent="0.25">
      <c r="A1670" s="77" t="s">
        <v>1108</v>
      </c>
      <c r="B1670" s="78">
        <f>INSUMOS!B309</f>
        <v>120000</v>
      </c>
      <c r="C1670" s="98">
        <v>1</v>
      </c>
      <c r="D1670" s="75">
        <f>C1670*B1670</f>
        <v>120000</v>
      </c>
      <c r="E1670" s="105"/>
    </row>
    <row r="1671" spans="1:5" x14ac:dyDescent="0.25">
      <c r="A1671" s="82"/>
      <c r="B1671" s="83"/>
      <c r="C1671" s="83" t="s">
        <v>122</v>
      </c>
      <c r="D1671" s="83">
        <f>SUM(D1667:D1670)</f>
        <v>960000</v>
      </c>
      <c r="E1671" s="100">
        <f>SUM(E1667:E1670)</f>
        <v>25</v>
      </c>
    </row>
    <row r="1673" spans="1:5" x14ac:dyDescent="0.25">
      <c r="A1673" s="279" t="s">
        <v>1109</v>
      </c>
      <c r="B1673" s="279"/>
      <c r="C1673" s="279"/>
      <c r="D1673" s="279"/>
      <c r="E1673" s="279"/>
    </row>
    <row r="1674" spans="1:5" x14ac:dyDescent="0.25">
      <c r="A1674" s="72" t="s">
        <v>92</v>
      </c>
      <c r="B1674" s="72" t="s">
        <v>93</v>
      </c>
      <c r="C1674" s="72" t="s">
        <v>227</v>
      </c>
      <c r="D1674" s="72" t="s">
        <v>228</v>
      </c>
      <c r="E1674" s="114" t="s">
        <v>229</v>
      </c>
    </row>
    <row r="1675" spans="1:5" x14ac:dyDescent="0.25">
      <c r="A1675" s="74" t="s">
        <v>795</v>
      </c>
      <c r="B1675" s="75">
        <f>INSUMOS!B183</f>
        <v>850000</v>
      </c>
      <c r="C1675" s="103">
        <v>1</v>
      </c>
      <c r="D1675" s="75">
        <f t="shared" ref="D1675:D1680" si="41">C1675*B1675</f>
        <v>850000</v>
      </c>
      <c r="E1675" s="102">
        <f>INSUMOS!E183</f>
        <v>35</v>
      </c>
    </row>
    <row r="1676" spans="1:5" x14ac:dyDescent="0.25">
      <c r="A1676" s="77" t="s">
        <v>869</v>
      </c>
      <c r="B1676" s="78">
        <f>INSUMOS!B228</f>
        <v>276000</v>
      </c>
      <c r="C1676" s="98">
        <v>1</v>
      </c>
      <c r="D1676" s="75">
        <f t="shared" si="41"/>
        <v>276000</v>
      </c>
      <c r="E1676" s="97">
        <f>INSUMOS!E228</f>
        <v>8</v>
      </c>
    </row>
    <row r="1677" spans="1:5" x14ac:dyDescent="0.25">
      <c r="A1677" s="77" t="s">
        <v>990</v>
      </c>
      <c r="B1677" s="78">
        <f>INSUMOS!B405</f>
        <v>90000</v>
      </c>
      <c r="C1677" s="98">
        <v>1</v>
      </c>
      <c r="D1677" s="75">
        <f t="shared" si="41"/>
        <v>90000</v>
      </c>
      <c r="E1677" s="97"/>
    </row>
    <row r="1678" spans="1:5" x14ac:dyDescent="0.25">
      <c r="A1678" s="77" t="s">
        <v>798</v>
      </c>
      <c r="B1678" s="78">
        <f>INSUMOS!B368</f>
        <v>550000</v>
      </c>
      <c r="C1678" s="98">
        <v>1</v>
      </c>
      <c r="D1678" s="75">
        <f t="shared" si="41"/>
        <v>550000</v>
      </c>
      <c r="E1678" s="105" t="s">
        <v>232</v>
      </c>
    </row>
    <row r="1679" spans="1:5" x14ac:dyDescent="0.25">
      <c r="A1679" s="77" t="s">
        <v>799</v>
      </c>
      <c r="B1679" s="78">
        <f>INSUMOS!B388</f>
        <v>50000</v>
      </c>
      <c r="C1679" s="98">
        <v>1</v>
      </c>
      <c r="D1679" s="75">
        <f t="shared" si="41"/>
        <v>50000</v>
      </c>
      <c r="E1679" s="105"/>
    </row>
    <row r="1680" spans="1:5" x14ac:dyDescent="0.25">
      <c r="A1680" s="77" t="s">
        <v>800</v>
      </c>
      <c r="B1680" s="78">
        <f>INSUMOS!B342</f>
        <v>160000</v>
      </c>
      <c r="C1680" s="98">
        <v>1</v>
      </c>
      <c r="D1680" s="75">
        <f t="shared" si="41"/>
        <v>160000</v>
      </c>
      <c r="E1680" s="105"/>
    </row>
    <row r="1681" spans="1:5" x14ac:dyDescent="0.25">
      <c r="A1681" s="82"/>
      <c r="B1681" s="83"/>
      <c r="C1681" s="83" t="s">
        <v>122</v>
      </c>
      <c r="D1681" s="83">
        <f>SUM(D1675:D1680)</f>
        <v>1976000</v>
      </c>
      <c r="E1681" s="100">
        <f>SUM(E1675:E1680)</f>
        <v>43</v>
      </c>
    </row>
    <row r="1683" spans="1:5" x14ac:dyDescent="0.25">
      <c r="A1683" s="279" t="s">
        <v>1110</v>
      </c>
      <c r="B1683" s="279"/>
      <c r="C1683" s="279"/>
      <c r="D1683" s="279"/>
      <c r="E1683" s="279"/>
    </row>
    <row r="1684" spans="1:5" x14ac:dyDescent="0.25">
      <c r="A1684" s="72" t="s">
        <v>92</v>
      </c>
      <c r="B1684" s="72" t="s">
        <v>93</v>
      </c>
      <c r="C1684" s="72" t="s">
        <v>227</v>
      </c>
      <c r="D1684" s="72" t="s">
        <v>228</v>
      </c>
      <c r="E1684" s="114" t="s">
        <v>229</v>
      </c>
    </row>
    <row r="1685" spans="1:5" x14ac:dyDescent="0.25">
      <c r="A1685" s="74" t="s">
        <v>795</v>
      </c>
      <c r="B1685" s="75">
        <f>INSUMOS!B183</f>
        <v>850000</v>
      </c>
      <c r="C1685" s="103">
        <v>1</v>
      </c>
      <c r="D1685" s="75">
        <f t="shared" ref="D1685:D1690" si="42">C1685*B1685</f>
        <v>850000</v>
      </c>
      <c r="E1685" s="102">
        <f>INSUMOS!E183</f>
        <v>35</v>
      </c>
    </row>
    <row r="1686" spans="1:5" x14ac:dyDescent="0.25">
      <c r="A1686" s="77" t="s">
        <v>826</v>
      </c>
      <c r="B1686" s="78">
        <f>INSUMOS!B229</f>
        <v>336000</v>
      </c>
      <c r="C1686" s="98">
        <v>1</v>
      </c>
      <c r="D1686" s="75">
        <f t="shared" si="42"/>
        <v>336000</v>
      </c>
      <c r="E1686" s="97">
        <f>INSUMOS!E229</f>
        <v>8</v>
      </c>
    </row>
    <row r="1687" spans="1:5" x14ac:dyDescent="0.25">
      <c r="A1687" s="77" t="s">
        <v>1036</v>
      </c>
      <c r="B1687" s="78">
        <f>INSUMOS!B406</f>
        <v>120000</v>
      </c>
      <c r="C1687" s="98">
        <v>1</v>
      </c>
      <c r="D1687" s="75">
        <f t="shared" si="42"/>
        <v>120000</v>
      </c>
      <c r="E1687" s="97"/>
    </row>
    <row r="1688" spans="1:5" x14ac:dyDescent="0.25">
      <c r="A1688" s="77" t="s">
        <v>798</v>
      </c>
      <c r="B1688" s="78">
        <f>INSUMOS!B368</f>
        <v>550000</v>
      </c>
      <c r="C1688" s="98">
        <v>1</v>
      </c>
      <c r="D1688" s="75">
        <f t="shared" si="42"/>
        <v>550000</v>
      </c>
      <c r="E1688" s="105" t="s">
        <v>232</v>
      </c>
    </row>
    <row r="1689" spans="1:5" x14ac:dyDescent="0.25">
      <c r="A1689" s="77" t="s">
        <v>799</v>
      </c>
      <c r="B1689" s="78">
        <f>INSUMOS!B388</f>
        <v>50000</v>
      </c>
      <c r="C1689" s="98">
        <v>1</v>
      </c>
      <c r="D1689" s="75">
        <f t="shared" si="42"/>
        <v>50000</v>
      </c>
      <c r="E1689" s="105"/>
    </row>
    <row r="1690" spans="1:5" x14ac:dyDescent="0.25">
      <c r="A1690" s="77" t="s">
        <v>800</v>
      </c>
      <c r="B1690" s="78">
        <f>INSUMOS!B342</f>
        <v>160000</v>
      </c>
      <c r="C1690" s="98">
        <v>1</v>
      </c>
      <c r="D1690" s="75">
        <f t="shared" si="42"/>
        <v>160000</v>
      </c>
      <c r="E1690" s="105"/>
    </row>
    <row r="1691" spans="1:5" x14ac:dyDescent="0.25">
      <c r="A1691" s="82"/>
      <c r="B1691" s="83"/>
      <c r="C1691" s="83" t="s">
        <v>122</v>
      </c>
      <c r="D1691" s="83">
        <f>SUM(D1685:D1690)</f>
        <v>2066000</v>
      </c>
      <c r="E1691" s="100">
        <f>SUM(E1685:E1690)</f>
        <v>43</v>
      </c>
    </row>
    <row r="1693" spans="1:5" x14ac:dyDescent="0.25">
      <c r="A1693" s="279" t="s">
        <v>1111</v>
      </c>
      <c r="B1693" s="279"/>
      <c r="C1693" s="279"/>
      <c r="D1693" s="279"/>
      <c r="E1693" s="279"/>
    </row>
    <row r="1694" spans="1:5" x14ac:dyDescent="0.25">
      <c r="A1694" s="72" t="s">
        <v>92</v>
      </c>
      <c r="B1694" s="72" t="s">
        <v>226</v>
      </c>
      <c r="C1694" s="72" t="s">
        <v>227</v>
      </c>
      <c r="D1694" s="72" t="s">
        <v>228</v>
      </c>
      <c r="E1694" s="73" t="s">
        <v>229</v>
      </c>
    </row>
    <row r="1695" spans="1:5" x14ac:dyDescent="0.25">
      <c r="A1695" s="74" t="s">
        <v>1105</v>
      </c>
      <c r="B1695" s="75">
        <f>INSUMOS!B145</f>
        <v>410000</v>
      </c>
      <c r="C1695" s="103">
        <v>1</v>
      </c>
      <c r="D1695" s="75">
        <f>C1695*B1695</f>
        <v>410000</v>
      </c>
      <c r="E1695" s="102">
        <v>18</v>
      </c>
    </row>
    <row r="1696" spans="1:5" x14ac:dyDescent="0.25">
      <c r="A1696" s="77" t="s">
        <v>1112</v>
      </c>
      <c r="B1696" s="78">
        <f>INSUMOS!B249</f>
        <v>360000</v>
      </c>
      <c r="C1696" s="98">
        <v>1</v>
      </c>
      <c r="D1696" s="75">
        <f>C1696*B1696</f>
        <v>360000</v>
      </c>
      <c r="E1696" s="97">
        <f>INSUMOS!E249</f>
        <v>8</v>
      </c>
    </row>
    <row r="1697" spans="1:5" x14ac:dyDescent="0.25">
      <c r="A1697" s="77" t="s">
        <v>1107</v>
      </c>
      <c r="B1697" s="78">
        <f>INSUMOS!B295</f>
        <v>380000</v>
      </c>
      <c r="C1697" s="98">
        <v>1</v>
      </c>
      <c r="D1697" s="75">
        <f>C1697*B1697</f>
        <v>380000</v>
      </c>
      <c r="E1697" s="105" t="s">
        <v>232</v>
      </c>
    </row>
    <row r="1698" spans="1:5" x14ac:dyDescent="0.25">
      <c r="A1698" s="77" t="s">
        <v>1108</v>
      </c>
      <c r="B1698" s="78">
        <f>INSUMOS!B309</f>
        <v>120000</v>
      </c>
      <c r="C1698" s="98">
        <v>1</v>
      </c>
      <c r="D1698" s="75">
        <f>C1698*B1698</f>
        <v>120000</v>
      </c>
      <c r="E1698" s="105"/>
    </row>
    <row r="1699" spans="1:5" x14ac:dyDescent="0.25">
      <c r="A1699" s="82"/>
      <c r="B1699" s="83"/>
      <c r="C1699" s="83" t="s">
        <v>122</v>
      </c>
      <c r="D1699" s="83">
        <f>SUM(D1695:D1698)</f>
        <v>1270000</v>
      </c>
      <c r="E1699" s="100">
        <f>SUM(E1695:E1698)</f>
        <v>26</v>
      </c>
    </row>
    <row r="1701" spans="1:5" x14ac:dyDescent="0.25">
      <c r="A1701" s="279" t="s">
        <v>1113</v>
      </c>
      <c r="B1701" s="279"/>
      <c r="C1701" s="279"/>
      <c r="D1701" s="279"/>
      <c r="E1701" s="279"/>
    </row>
    <row r="1702" spans="1:5" x14ac:dyDescent="0.25">
      <c r="A1702" s="72" t="s">
        <v>92</v>
      </c>
      <c r="B1702" s="72" t="s">
        <v>93</v>
      </c>
      <c r="C1702" s="72" t="s">
        <v>227</v>
      </c>
      <c r="D1702" s="72" t="s">
        <v>228</v>
      </c>
      <c r="E1702" s="114" t="s">
        <v>229</v>
      </c>
    </row>
    <row r="1703" spans="1:5" x14ac:dyDescent="0.25">
      <c r="A1703" s="74" t="s">
        <v>795</v>
      </c>
      <c r="B1703" s="75">
        <f>INSUMOS!B183</f>
        <v>850000</v>
      </c>
      <c r="C1703" s="103">
        <v>1</v>
      </c>
      <c r="D1703" s="75">
        <f>C1703*B1703</f>
        <v>850000</v>
      </c>
      <c r="E1703" s="102">
        <f>INSUMOS!E183</f>
        <v>35</v>
      </c>
    </row>
    <row r="1704" spans="1:5" x14ac:dyDescent="0.25">
      <c r="A1704" s="77" t="s">
        <v>1114</v>
      </c>
      <c r="B1704" s="78">
        <f>INSUMOS!B227</f>
        <v>240000</v>
      </c>
      <c r="C1704" s="98">
        <v>1</v>
      </c>
      <c r="D1704" s="75">
        <f>C1704*B1704</f>
        <v>240000</v>
      </c>
      <c r="E1704" s="97">
        <f>INSUMOS!E227</f>
        <v>6</v>
      </c>
    </row>
    <row r="1705" spans="1:5" x14ac:dyDescent="0.25">
      <c r="A1705" s="77" t="s">
        <v>798</v>
      </c>
      <c r="B1705" s="78">
        <f>INSUMOS!B368</f>
        <v>550000</v>
      </c>
      <c r="C1705" s="98">
        <v>1</v>
      </c>
      <c r="D1705" s="75">
        <f>C1705*B1705</f>
        <v>550000</v>
      </c>
      <c r="E1705" s="105" t="s">
        <v>232</v>
      </c>
    </row>
    <row r="1706" spans="1:5" x14ac:dyDescent="0.25">
      <c r="A1706" s="77" t="s">
        <v>799</v>
      </c>
      <c r="B1706" s="78">
        <f>INSUMOS!B388</f>
        <v>50000</v>
      </c>
      <c r="C1706" s="98">
        <v>1</v>
      </c>
      <c r="D1706" s="75">
        <f>C1706*B1706</f>
        <v>50000</v>
      </c>
      <c r="E1706" s="105"/>
    </row>
    <row r="1707" spans="1:5" x14ac:dyDescent="0.25">
      <c r="A1707" s="77" t="s">
        <v>800</v>
      </c>
      <c r="B1707" s="78">
        <f>INSUMOS!B342</f>
        <v>160000</v>
      </c>
      <c r="C1707" s="98">
        <v>1</v>
      </c>
      <c r="D1707" s="75">
        <f>C1707*B1707</f>
        <v>160000</v>
      </c>
      <c r="E1707" s="105"/>
    </row>
    <row r="1708" spans="1:5" x14ac:dyDescent="0.25">
      <c r="A1708" s="82"/>
      <c r="B1708" s="83"/>
      <c r="C1708" s="83" t="s">
        <v>122</v>
      </c>
      <c r="D1708" s="83">
        <f>SUM(D1703:D1707)</f>
        <v>1850000</v>
      </c>
      <c r="E1708" s="100">
        <f>SUM(E1703:E1707)</f>
        <v>41</v>
      </c>
    </row>
    <row r="1710" spans="1:5" x14ac:dyDescent="0.25">
      <c r="A1710" s="279" t="s">
        <v>1115</v>
      </c>
      <c r="B1710" s="279"/>
      <c r="C1710" s="279"/>
      <c r="D1710" s="279"/>
      <c r="E1710" s="279"/>
    </row>
    <row r="1711" spans="1:5" x14ac:dyDescent="0.25">
      <c r="A1711" s="72" t="s">
        <v>92</v>
      </c>
      <c r="B1711" s="72" t="s">
        <v>226</v>
      </c>
      <c r="C1711" s="72" t="s">
        <v>227</v>
      </c>
      <c r="D1711" s="72" t="s">
        <v>228</v>
      </c>
      <c r="E1711" s="73" t="s">
        <v>229</v>
      </c>
    </row>
    <row r="1712" spans="1:5" x14ac:dyDescent="0.25">
      <c r="A1712" s="74" t="s">
        <v>1006</v>
      </c>
      <c r="B1712" s="75">
        <f>INSUMOS!B135</f>
        <v>310000</v>
      </c>
      <c r="C1712" s="103">
        <v>1</v>
      </c>
      <c r="D1712" s="75">
        <f>C1712*B1712</f>
        <v>310000</v>
      </c>
      <c r="E1712" s="102">
        <f>INSUMOS!E135</f>
        <v>24</v>
      </c>
    </row>
    <row r="1713" spans="1:5" x14ac:dyDescent="0.25">
      <c r="A1713" s="77" t="s">
        <v>706</v>
      </c>
      <c r="B1713" s="78">
        <f>INSUMOS!B243</f>
        <v>310000</v>
      </c>
      <c r="C1713" s="98">
        <v>1</v>
      </c>
      <c r="D1713" s="75">
        <f>C1713*B1713</f>
        <v>310000</v>
      </c>
      <c r="E1713" s="97">
        <f>INSUMOS!E243</f>
        <v>6</v>
      </c>
    </row>
    <row r="1714" spans="1:5" x14ac:dyDescent="0.25">
      <c r="A1714" s="77" t="s">
        <v>1007</v>
      </c>
      <c r="B1714" s="78">
        <f>INSUMOS!B293</f>
        <v>300000</v>
      </c>
      <c r="C1714" s="98">
        <v>1</v>
      </c>
      <c r="D1714" s="75">
        <f>C1714*B1714</f>
        <v>300000</v>
      </c>
      <c r="E1714" s="105" t="s">
        <v>232</v>
      </c>
    </row>
    <row r="1715" spans="1:5" x14ac:dyDescent="0.25">
      <c r="A1715" s="77" t="s">
        <v>1008</v>
      </c>
      <c r="B1715" s="78">
        <f>INSUMOS!B307</f>
        <v>90000</v>
      </c>
      <c r="C1715" s="98">
        <v>1</v>
      </c>
      <c r="D1715" s="75">
        <f>C1715*B1715</f>
        <v>90000</v>
      </c>
      <c r="E1715" s="105"/>
    </row>
    <row r="1716" spans="1:5" x14ac:dyDescent="0.25">
      <c r="A1716" s="82"/>
      <c r="B1716" s="83"/>
      <c r="C1716" s="113" t="s">
        <v>122</v>
      </c>
      <c r="D1716" s="83">
        <f>SUM(D1712:D1715)</f>
        <v>1010000</v>
      </c>
      <c r="E1716" s="100">
        <f>SUM(E1712:E1715)</f>
        <v>30</v>
      </c>
    </row>
    <row r="1718" spans="1:5" x14ac:dyDescent="0.25">
      <c r="A1718" s="279" t="s">
        <v>1116</v>
      </c>
      <c r="B1718" s="279"/>
      <c r="C1718" s="279"/>
      <c r="D1718" s="279"/>
      <c r="E1718" s="279"/>
    </row>
    <row r="1719" spans="1:5" x14ac:dyDescent="0.25">
      <c r="A1719" s="72" t="s">
        <v>92</v>
      </c>
      <c r="B1719" s="72" t="s">
        <v>226</v>
      </c>
      <c r="C1719" s="72" t="s">
        <v>227</v>
      </c>
      <c r="D1719" s="72" t="s">
        <v>228</v>
      </c>
      <c r="E1719" s="73" t="s">
        <v>229</v>
      </c>
    </row>
    <row r="1720" spans="1:5" x14ac:dyDescent="0.25">
      <c r="A1720" s="74" t="s">
        <v>1006</v>
      </c>
      <c r="B1720" s="75">
        <f>INSUMOS!B143</f>
        <v>403000</v>
      </c>
      <c r="C1720" s="103">
        <v>1</v>
      </c>
      <c r="D1720" s="75">
        <f>C1720*B1720</f>
        <v>403000</v>
      </c>
      <c r="E1720" s="102">
        <f>INSUMOS!E143</f>
        <v>24</v>
      </c>
    </row>
    <row r="1721" spans="1:5" x14ac:dyDescent="0.25">
      <c r="A1721" s="77" t="s">
        <v>706</v>
      </c>
      <c r="B1721" s="78">
        <f>INSUMOS!B248</f>
        <v>372000</v>
      </c>
      <c r="C1721" s="98">
        <v>1</v>
      </c>
      <c r="D1721" s="75">
        <f>C1721*B1721</f>
        <v>372000</v>
      </c>
      <c r="E1721" s="97">
        <f>INSUMOS!E248</f>
        <v>6</v>
      </c>
    </row>
    <row r="1722" spans="1:5" x14ac:dyDescent="0.25">
      <c r="A1722" s="77" t="s">
        <v>1007</v>
      </c>
      <c r="B1722" s="78">
        <f>INSUMOS!B293</f>
        <v>300000</v>
      </c>
      <c r="C1722" s="98">
        <v>1</v>
      </c>
      <c r="D1722" s="75">
        <f>C1722*B1722</f>
        <v>300000</v>
      </c>
      <c r="E1722" s="105" t="s">
        <v>232</v>
      </c>
    </row>
    <row r="1723" spans="1:5" x14ac:dyDescent="0.25">
      <c r="A1723" s="77" t="s">
        <v>1008</v>
      </c>
      <c r="B1723" s="78">
        <f>INSUMOS!B307</f>
        <v>90000</v>
      </c>
      <c r="C1723" s="98">
        <v>1</v>
      </c>
      <c r="D1723" s="75">
        <f>C1723*B1723</f>
        <v>90000</v>
      </c>
      <c r="E1723" s="105"/>
    </row>
    <row r="1724" spans="1:5" x14ac:dyDescent="0.25">
      <c r="A1724" s="82"/>
      <c r="B1724" s="83"/>
      <c r="C1724" s="113" t="s">
        <v>122</v>
      </c>
      <c r="D1724" s="83">
        <f>SUM(D1720:D1723)</f>
        <v>1165000</v>
      </c>
      <c r="E1724" s="100">
        <f>SUM(E1720:E1723)</f>
        <v>30</v>
      </c>
    </row>
    <row r="1726" spans="1:5" x14ac:dyDescent="0.25">
      <c r="A1726" s="279" t="s">
        <v>1117</v>
      </c>
      <c r="B1726" s="279"/>
      <c r="C1726" s="279"/>
      <c r="D1726" s="279"/>
      <c r="E1726" s="279"/>
    </row>
    <row r="1727" spans="1:5" x14ac:dyDescent="0.25">
      <c r="A1727" s="72" t="s">
        <v>92</v>
      </c>
      <c r="B1727" s="72" t="s">
        <v>93</v>
      </c>
      <c r="C1727" s="72" t="s">
        <v>227</v>
      </c>
      <c r="D1727" s="72" t="s">
        <v>228</v>
      </c>
      <c r="E1727" s="114" t="s">
        <v>229</v>
      </c>
    </row>
    <row r="1728" spans="1:5" x14ac:dyDescent="0.25">
      <c r="A1728" s="74" t="s">
        <v>984</v>
      </c>
      <c r="B1728" s="75">
        <f>INSUMOS!B158</f>
        <v>2200000</v>
      </c>
      <c r="C1728" s="103">
        <v>1</v>
      </c>
      <c r="D1728" s="75">
        <f t="shared" ref="D1728:D1733" si="43">C1728*B1728</f>
        <v>2200000</v>
      </c>
      <c r="E1728" s="102">
        <f>INSUMOS!E158</f>
        <v>124</v>
      </c>
    </row>
    <row r="1729" spans="1:5" x14ac:dyDescent="0.25">
      <c r="A1729" s="77" t="s">
        <v>882</v>
      </c>
      <c r="B1729" s="78">
        <f>INSUMOS!B210</f>
        <v>325000</v>
      </c>
      <c r="C1729" s="98">
        <v>1</v>
      </c>
      <c r="D1729" s="75">
        <f t="shared" si="43"/>
        <v>325000</v>
      </c>
      <c r="E1729" s="97">
        <f>INSUMOS!E210</f>
        <v>8</v>
      </c>
    </row>
    <row r="1730" spans="1:5" x14ac:dyDescent="0.25">
      <c r="A1730" s="77" t="s">
        <v>819</v>
      </c>
      <c r="B1730" s="78">
        <f>INSUMOS!B399</f>
        <v>90000</v>
      </c>
      <c r="C1730" s="98">
        <v>1</v>
      </c>
      <c r="D1730" s="75">
        <f t="shared" si="43"/>
        <v>90000</v>
      </c>
      <c r="E1730" s="97"/>
    </row>
    <row r="1731" spans="1:5" x14ac:dyDescent="0.25">
      <c r="A1731" s="77" t="s">
        <v>985</v>
      </c>
      <c r="B1731" s="78">
        <f>INSUMOS!B359</f>
        <v>750000</v>
      </c>
      <c r="C1731" s="98">
        <v>1</v>
      </c>
      <c r="D1731" s="75">
        <f t="shared" si="43"/>
        <v>750000</v>
      </c>
      <c r="E1731" s="105" t="s">
        <v>232</v>
      </c>
    </row>
    <row r="1732" spans="1:5" x14ac:dyDescent="0.25">
      <c r="A1732" s="77" t="s">
        <v>986</v>
      </c>
      <c r="B1732" s="78">
        <f>INSUMOS!B378</f>
        <v>480000</v>
      </c>
      <c r="C1732" s="98">
        <v>1</v>
      </c>
      <c r="D1732" s="75">
        <f t="shared" si="43"/>
        <v>480000</v>
      </c>
      <c r="E1732" s="105"/>
    </row>
    <row r="1733" spans="1:5" x14ac:dyDescent="0.25">
      <c r="A1733" s="77" t="s">
        <v>987</v>
      </c>
      <c r="B1733" s="78">
        <f>INSUMOS!B322</f>
        <v>250000</v>
      </c>
      <c r="C1733" s="98">
        <v>1</v>
      </c>
      <c r="D1733" s="75">
        <f t="shared" si="43"/>
        <v>250000</v>
      </c>
      <c r="E1733" s="105"/>
    </row>
    <row r="1734" spans="1:5" x14ac:dyDescent="0.25">
      <c r="A1734" s="82"/>
      <c r="B1734" s="83"/>
      <c r="C1734" s="83" t="s">
        <v>122</v>
      </c>
      <c r="D1734" s="83">
        <f>SUM(D1728:D1733)</f>
        <v>4095000</v>
      </c>
      <c r="E1734" s="100">
        <f>SUM(E1728:E1733)</f>
        <v>132</v>
      </c>
    </row>
    <row r="1736" spans="1:5" x14ac:dyDescent="0.25">
      <c r="A1736" s="279" t="s">
        <v>1118</v>
      </c>
      <c r="B1736" s="279"/>
      <c r="C1736" s="279"/>
      <c r="D1736" s="279"/>
      <c r="E1736" s="279"/>
    </row>
    <row r="1737" spans="1:5" x14ac:dyDescent="0.25">
      <c r="A1737" s="72" t="s">
        <v>92</v>
      </c>
      <c r="B1737" s="72" t="s">
        <v>93</v>
      </c>
      <c r="C1737" s="72" t="s">
        <v>227</v>
      </c>
      <c r="D1737" s="72" t="s">
        <v>228</v>
      </c>
      <c r="E1737" s="114" t="s">
        <v>229</v>
      </c>
    </row>
    <row r="1738" spans="1:5" x14ac:dyDescent="0.25">
      <c r="A1738" s="74" t="s">
        <v>1119</v>
      </c>
      <c r="B1738" s="75">
        <f>INSUMOS!B157</f>
        <v>1380000</v>
      </c>
      <c r="C1738" s="103">
        <v>1</v>
      </c>
      <c r="D1738" s="75">
        <f t="shared" ref="D1738:D1743" si="44">C1738*B1738</f>
        <v>1380000</v>
      </c>
      <c r="E1738" s="102">
        <f>INSUMOS!E157</f>
        <v>54</v>
      </c>
    </row>
    <row r="1739" spans="1:5" x14ac:dyDescent="0.25">
      <c r="A1739" s="77" t="s">
        <v>860</v>
      </c>
      <c r="B1739" s="78">
        <f>INSUMOS!B209</f>
        <v>280000</v>
      </c>
      <c r="C1739" s="98">
        <v>1</v>
      </c>
      <c r="D1739" s="75">
        <f t="shared" si="44"/>
        <v>280000</v>
      </c>
      <c r="E1739" s="97">
        <f>INSUMOS!E209</f>
        <v>6</v>
      </c>
    </row>
    <row r="1740" spans="1:5" x14ac:dyDescent="0.25">
      <c r="A1740" s="77" t="s">
        <v>1120</v>
      </c>
      <c r="B1740" s="78">
        <f>INSUMOS!B398</f>
        <v>75000</v>
      </c>
      <c r="C1740" s="98">
        <v>1</v>
      </c>
      <c r="D1740" s="75">
        <f t="shared" si="44"/>
        <v>75000</v>
      </c>
      <c r="E1740" s="97"/>
    </row>
    <row r="1741" spans="1:5" x14ac:dyDescent="0.25">
      <c r="A1741" s="77" t="s">
        <v>1121</v>
      </c>
      <c r="B1741" s="78">
        <f>INSUMOS!B358</f>
        <v>720000</v>
      </c>
      <c r="C1741" s="98">
        <v>1</v>
      </c>
      <c r="D1741" s="75">
        <f t="shared" si="44"/>
        <v>720000</v>
      </c>
      <c r="E1741" s="105" t="s">
        <v>232</v>
      </c>
    </row>
    <row r="1742" spans="1:5" x14ac:dyDescent="0.25">
      <c r="A1742" s="77" t="s">
        <v>1122</v>
      </c>
      <c r="B1742" s="78">
        <f>INSUMOS!B377</f>
        <v>480000</v>
      </c>
      <c r="C1742" s="98">
        <v>1</v>
      </c>
      <c r="D1742" s="75">
        <f t="shared" si="44"/>
        <v>480000</v>
      </c>
      <c r="E1742" s="105"/>
    </row>
    <row r="1743" spans="1:5" x14ac:dyDescent="0.25">
      <c r="A1743" s="77" t="s">
        <v>1123</v>
      </c>
      <c r="B1743" s="78">
        <f>INSUMOS!B321</f>
        <v>200000</v>
      </c>
      <c r="C1743" s="98">
        <v>1</v>
      </c>
      <c r="D1743" s="75">
        <f t="shared" si="44"/>
        <v>200000</v>
      </c>
      <c r="E1743" s="105"/>
    </row>
    <row r="1744" spans="1:5" x14ac:dyDescent="0.25">
      <c r="A1744" s="82"/>
      <c r="B1744" s="83"/>
      <c r="C1744" s="83" t="s">
        <v>122</v>
      </c>
      <c r="D1744" s="83">
        <f>SUM(D1738:D1743)</f>
        <v>3135000</v>
      </c>
      <c r="E1744" s="100">
        <f>SUM(E1738:E1743)</f>
        <v>60</v>
      </c>
    </row>
    <row r="1746" spans="1:5" x14ac:dyDescent="0.25">
      <c r="A1746" s="279" t="s">
        <v>1124</v>
      </c>
      <c r="B1746" s="279"/>
      <c r="C1746" s="279"/>
      <c r="D1746" s="279"/>
      <c r="E1746" s="279"/>
    </row>
    <row r="1747" spans="1:5" x14ac:dyDescent="0.25">
      <c r="A1747" s="72" t="s">
        <v>92</v>
      </c>
      <c r="B1747" s="72" t="s">
        <v>226</v>
      </c>
      <c r="C1747" s="72" t="s">
        <v>227</v>
      </c>
      <c r="D1747" s="72" t="s">
        <v>228</v>
      </c>
      <c r="E1747" s="73" t="s">
        <v>229</v>
      </c>
    </row>
    <row r="1748" spans="1:5" x14ac:dyDescent="0.25">
      <c r="A1748" s="74" t="s">
        <v>681</v>
      </c>
      <c r="B1748" s="75">
        <f>INSUMOS!B147</f>
        <v>105000</v>
      </c>
      <c r="C1748" s="103">
        <v>1</v>
      </c>
      <c r="D1748" s="75">
        <f>C1748*B1748</f>
        <v>105000</v>
      </c>
      <c r="E1748" s="102">
        <f>INSUMOS!E147</f>
        <v>1.6</v>
      </c>
    </row>
    <row r="1749" spans="1:5" x14ac:dyDescent="0.25">
      <c r="A1749" s="77" t="s">
        <v>1098</v>
      </c>
      <c r="B1749" s="78">
        <f>INSUMOS!B207</f>
        <v>240000</v>
      </c>
      <c r="C1749" s="98">
        <v>1</v>
      </c>
      <c r="D1749" s="75">
        <f>C1749*B1749</f>
        <v>240000</v>
      </c>
      <c r="E1749" s="97">
        <f>INSUMOS!E207</f>
        <v>4</v>
      </c>
    </row>
    <row r="1750" spans="1:5" x14ac:dyDescent="0.25">
      <c r="A1750" s="77" t="s">
        <v>682</v>
      </c>
      <c r="B1750" s="78">
        <f>INSUMOS!B348</f>
        <v>120000</v>
      </c>
      <c r="C1750" s="98">
        <v>1</v>
      </c>
      <c r="D1750" s="75">
        <f>C1750*B1750</f>
        <v>120000</v>
      </c>
      <c r="E1750" s="105"/>
    </row>
    <row r="1751" spans="1:5" x14ac:dyDescent="0.25">
      <c r="A1751" s="77" t="s">
        <v>683</v>
      </c>
      <c r="B1751" s="78">
        <f>INSUMOS!B311</f>
        <v>35000</v>
      </c>
      <c r="C1751" s="98">
        <v>1</v>
      </c>
      <c r="D1751" s="75">
        <f>C1751*B1751</f>
        <v>35000</v>
      </c>
      <c r="E1751" s="105"/>
    </row>
    <row r="1752" spans="1:5" x14ac:dyDescent="0.25">
      <c r="A1752" s="82"/>
      <c r="B1752" s="83"/>
      <c r="C1752" s="83" t="s">
        <v>122</v>
      </c>
      <c r="D1752" s="83">
        <f>SUM(D1748:D1751)</f>
        <v>500000</v>
      </c>
      <c r="E1752" s="100">
        <f>SUM(E1748:E1751)</f>
        <v>5.6</v>
      </c>
    </row>
    <row r="1754" spans="1:5" x14ac:dyDescent="0.25">
      <c r="A1754" s="279" t="s">
        <v>1125</v>
      </c>
      <c r="B1754" s="279"/>
      <c r="C1754" s="279"/>
      <c r="D1754" s="279"/>
      <c r="E1754" s="279"/>
    </row>
    <row r="1755" spans="1:5" x14ac:dyDescent="0.25">
      <c r="A1755" s="72" t="s">
        <v>92</v>
      </c>
      <c r="B1755" s="72" t="s">
        <v>93</v>
      </c>
      <c r="C1755" s="72" t="s">
        <v>227</v>
      </c>
      <c r="D1755" s="72" t="s">
        <v>228</v>
      </c>
      <c r="E1755" s="114" t="s">
        <v>229</v>
      </c>
    </row>
    <row r="1756" spans="1:5" x14ac:dyDescent="0.25">
      <c r="A1756" s="74" t="s">
        <v>1119</v>
      </c>
      <c r="B1756" s="75">
        <f>INSUMOS!B157</f>
        <v>1380000</v>
      </c>
      <c r="C1756" s="103">
        <v>1</v>
      </c>
      <c r="D1756" s="75">
        <f t="shared" ref="D1756:D1761" si="45">C1756*B1756</f>
        <v>1380000</v>
      </c>
      <c r="E1756" s="102">
        <f>INSUMOS!E157</f>
        <v>54</v>
      </c>
    </row>
    <row r="1757" spans="1:5" x14ac:dyDescent="0.25">
      <c r="A1757" s="77" t="s">
        <v>1126</v>
      </c>
      <c r="B1757" s="78">
        <f>INSUMOS!B212</f>
        <v>550000</v>
      </c>
      <c r="C1757" s="98">
        <v>1</v>
      </c>
      <c r="D1757" s="75">
        <f t="shared" si="45"/>
        <v>550000</v>
      </c>
      <c r="E1757" s="97">
        <f>INSUMOS!E212</f>
        <v>13</v>
      </c>
    </row>
    <row r="1758" spans="1:5" x14ac:dyDescent="0.25">
      <c r="A1758" s="77" t="s">
        <v>805</v>
      </c>
      <c r="B1758" s="78">
        <f>INSUMOS!B400</f>
        <v>170000</v>
      </c>
      <c r="C1758" s="98">
        <v>1</v>
      </c>
      <c r="D1758" s="75">
        <f t="shared" si="45"/>
        <v>170000</v>
      </c>
      <c r="E1758" s="97"/>
    </row>
    <row r="1759" spans="1:5" x14ac:dyDescent="0.25">
      <c r="A1759" s="77" t="s">
        <v>1121</v>
      </c>
      <c r="B1759" s="78">
        <f>INSUMOS!B358</f>
        <v>720000</v>
      </c>
      <c r="C1759" s="98">
        <v>1</v>
      </c>
      <c r="D1759" s="75">
        <f t="shared" si="45"/>
        <v>720000</v>
      </c>
      <c r="E1759" s="105" t="s">
        <v>232</v>
      </c>
    </row>
    <row r="1760" spans="1:5" x14ac:dyDescent="0.25">
      <c r="A1760" s="77" t="s">
        <v>1122</v>
      </c>
      <c r="B1760" s="78">
        <f>INSUMOS!B377</f>
        <v>480000</v>
      </c>
      <c r="C1760" s="98">
        <v>1</v>
      </c>
      <c r="D1760" s="75">
        <f t="shared" si="45"/>
        <v>480000</v>
      </c>
      <c r="E1760" s="105"/>
    </row>
    <row r="1761" spans="1:5" x14ac:dyDescent="0.25">
      <c r="A1761" s="77" t="s">
        <v>1123</v>
      </c>
      <c r="B1761" s="78">
        <f>INSUMOS!B321</f>
        <v>200000</v>
      </c>
      <c r="C1761" s="98">
        <v>1</v>
      </c>
      <c r="D1761" s="75">
        <f t="shared" si="45"/>
        <v>200000</v>
      </c>
      <c r="E1761" s="105"/>
    </row>
    <row r="1762" spans="1:5" x14ac:dyDescent="0.25">
      <c r="A1762" s="82"/>
      <c r="B1762" s="83"/>
      <c r="C1762" s="83" t="s">
        <v>122</v>
      </c>
      <c r="D1762" s="83">
        <f>SUM(D1756:D1761)</f>
        <v>3500000</v>
      </c>
      <c r="E1762" s="100">
        <f>SUM(E1756:E1761)</f>
        <v>67</v>
      </c>
    </row>
    <row r="1764" spans="1:5" x14ac:dyDescent="0.25">
      <c r="A1764" s="279" t="s">
        <v>1127</v>
      </c>
      <c r="B1764" s="279"/>
      <c r="C1764" s="279"/>
      <c r="D1764" s="279"/>
      <c r="E1764" s="279"/>
    </row>
    <row r="1765" spans="1:5" x14ac:dyDescent="0.25">
      <c r="A1765" s="72" t="s">
        <v>92</v>
      </c>
      <c r="B1765" s="72" t="s">
        <v>226</v>
      </c>
      <c r="C1765" s="72" t="s">
        <v>227</v>
      </c>
      <c r="D1765" s="72" t="s">
        <v>228</v>
      </c>
      <c r="E1765" s="73" t="s">
        <v>229</v>
      </c>
    </row>
    <row r="1766" spans="1:5" x14ac:dyDescent="0.25">
      <c r="A1766" s="74" t="s">
        <v>1128</v>
      </c>
      <c r="B1766" s="75">
        <f>INSUMOS!B164</f>
        <v>251999.99999999997</v>
      </c>
      <c r="C1766" s="103">
        <v>1</v>
      </c>
      <c r="D1766" s="75">
        <f>C1766*B1766</f>
        <v>251999.99999999997</v>
      </c>
      <c r="E1766" s="102">
        <f>INSUMOS!E164</f>
        <v>5.5</v>
      </c>
    </row>
    <row r="1767" spans="1:5" x14ac:dyDescent="0.25">
      <c r="A1767" s="77" t="s">
        <v>671</v>
      </c>
      <c r="B1767" s="78">
        <f>INSUMOS!B16</f>
        <v>240000</v>
      </c>
      <c r="C1767" s="98">
        <v>0.15</v>
      </c>
      <c r="D1767" s="75">
        <f>C1767*B1767</f>
        <v>36000</v>
      </c>
      <c r="E1767" s="97">
        <f>C1767*INSUMOS!E16</f>
        <v>2.3865922265492139</v>
      </c>
    </row>
    <row r="1768" spans="1:5" x14ac:dyDescent="0.25">
      <c r="A1768" s="77" t="s">
        <v>659</v>
      </c>
      <c r="B1768" s="78">
        <f>INSUMOS!B297</f>
        <v>200000</v>
      </c>
      <c r="C1768" s="98">
        <v>1</v>
      </c>
      <c r="D1768" s="75">
        <f>C1768*B1768</f>
        <v>200000</v>
      </c>
      <c r="E1768" s="105" t="s">
        <v>232</v>
      </c>
    </row>
    <row r="1769" spans="1:5" x14ac:dyDescent="0.25">
      <c r="A1769" s="77" t="s">
        <v>721</v>
      </c>
      <c r="B1769" s="78">
        <f>INSUMOS!B351</f>
        <v>200000</v>
      </c>
      <c r="C1769" s="98">
        <v>1</v>
      </c>
      <c r="D1769" s="75">
        <f>C1769*B1769</f>
        <v>200000</v>
      </c>
      <c r="E1769" s="105"/>
    </row>
    <row r="1770" spans="1:5" x14ac:dyDescent="0.25">
      <c r="A1770" s="77" t="s">
        <v>722</v>
      </c>
      <c r="B1770" s="78">
        <f>INSUMOS!B314</f>
        <v>60000</v>
      </c>
      <c r="C1770" s="98">
        <v>1</v>
      </c>
      <c r="D1770" s="75">
        <f>C1770*B1770</f>
        <v>60000</v>
      </c>
      <c r="E1770" s="105"/>
    </row>
    <row r="1771" spans="1:5" x14ac:dyDescent="0.25">
      <c r="A1771" s="82"/>
      <c r="B1771" s="83"/>
      <c r="C1771" s="83" t="s">
        <v>122</v>
      </c>
      <c r="D1771" s="83">
        <f>SUM(D1766:D1770)</f>
        <v>748000</v>
      </c>
      <c r="E1771" s="100">
        <f>SUM(E1766:E1770)</f>
        <v>7.8865922265492134</v>
      </c>
    </row>
    <row r="1773" spans="1:5" x14ac:dyDescent="0.25">
      <c r="A1773" s="279" t="s">
        <v>1129</v>
      </c>
      <c r="B1773" s="279"/>
      <c r="C1773" s="279"/>
      <c r="D1773" s="279"/>
      <c r="E1773" s="279"/>
    </row>
    <row r="1774" spans="1:5" x14ac:dyDescent="0.25">
      <c r="A1774" s="71" t="s">
        <v>92</v>
      </c>
      <c r="B1774" s="72" t="s">
        <v>226</v>
      </c>
      <c r="C1774" s="72" t="s">
        <v>227</v>
      </c>
      <c r="D1774" s="72" t="s">
        <v>228</v>
      </c>
      <c r="E1774" s="73" t="s">
        <v>229</v>
      </c>
    </row>
    <row r="1775" spans="1:5" x14ac:dyDescent="0.25">
      <c r="A1775" s="74" t="s">
        <v>878</v>
      </c>
      <c r="B1775" s="75">
        <f>INSUMOS!B165</f>
        <v>287000</v>
      </c>
      <c r="C1775" s="103">
        <v>1</v>
      </c>
      <c r="D1775" s="75">
        <f>C1775*B1775</f>
        <v>287000</v>
      </c>
      <c r="E1775" s="102">
        <f>INSUMOS!E165</f>
        <v>9.8000000000000007</v>
      </c>
    </row>
    <row r="1776" spans="1:5" x14ac:dyDescent="0.25">
      <c r="A1776" s="74" t="s">
        <v>1130</v>
      </c>
      <c r="B1776" s="75">
        <f>INSUMOS!B399</f>
        <v>90000</v>
      </c>
      <c r="C1776" s="103">
        <v>1</v>
      </c>
      <c r="D1776" s="75">
        <f>C1776*B1776</f>
        <v>90000</v>
      </c>
      <c r="E1776" s="97"/>
    </row>
    <row r="1777" spans="1:5" x14ac:dyDescent="0.25">
      <c r="A1777" s="77" t="s">
        <v>1131</v>
      </c>
      <c r="B1777" s="78">
        <f>INSUMOS!B217</f>
        <v>350000</v>
      </c>
      <c r="C1777" s="98">
        <v>1</v>
      </c>
      <c r="D1777" s="75">
        <f>C1777*B1777</f>
        <v>350000</v>
      </c>
      <c r="E1777" s="97">
        <f>INSUMOS!E217</f>
        <v>8</v>
      </c>
    </row>
    <row r="1778" spans="1:5" x14ac:dyDescent="0.25">
      <c r="A1778" s="77" t="s">
        <v>726</v>
      </c>
      <c r="B1778" s="78">
        <f>INSUMOS!B352</f>
        <v>230000</v>
      </c>
      <c r="C1778" s="98">
        <v>1</v>
      </c>
      <c r="D1778" s="75">
        <f>C1778*B1778</f>
        <v>230000</v>
      </c>
      <c r="E1778" s="105" t="s">
        <v>232</v>
      </c>
    </row>
    <row r="1779" spans="1:5" x14ac:dyDescent="0.25">
      <c r="A1779" s="77" t="s">
        <v>727</v>
      </c>
      <c r="B1779" s="78">
        <f>INSUMOS!B315</f>
        <v>70000</v>
      </c>
      <c r="C1779" s="98">
        <v>1</v>
      </c>
      <c r="D1779" s="75">
        <f>C1779*B1779</f>
        <v>70000</v>
      </c>
      <c r="E1779" s="105"/>
    </row>
    <row r="1780" spans="1:5" x14ac:dyDescent="0.25">
      <c r="A1780" s="82"/>
      <c r="B1780" s="83"/>
      <c r="C1780" s="113" t="s">
        <v>122</v>
      </c>
      <c r="D1780" s="83">
        <f>SUM(D1775:D1779)</f>
        <v>1027000</v>
      </c>
      <c r="E1780" s="100">
        <f>SUM(E1775:E1779)</f>
        <v>17.8</v>
      </c>
    </row>
    <row r="1782" spans="1:5" x14ac:dyDescent="0.25">
      <c r="A1782" s="279" t="s">
        <v>1132</v>
      </c>
      <c r="B1782" s="279"/>
      <c r="C1782" s="279"/>
      <c r="D1782" s="279"/>
      <c r="E1782" s="279"/>
    </row>
    <row r="1783" spans="1:5" x14ac:dyDescent="0.25">
      <c r="A1783" s="71" t="s">
        <v>92</v>
      </c>
      <c r="B1783" s="72" t="s">
        <v>226</v>
      </c>
      <c r="C1783" s="72" t="s">
        <v>227</v>
      </c>
      <c r="D1783" s="72" t="s">
        <v>228</v>
      </c>
      <c r="E1783" s="73" t="s">
        <v>229</v>
      </c>
    </row>
    <row r="1784" spans="1:5" x14ac:dyDescent="0.25">
      <c r="A1784" s="74" t="s">
        <v>878</v>
      </c>
      <c r="B1784" s="75">
        <f>INSUMOS!B165</f>
        <v>287000</v>
      </c>
      <c r="C1784" s="103">
        <v>1</v>
      </c>
      <c r="D1784" s="75">
        <f>C1784*B1784</f>
        <v>287000</v>
      </c>
      <c r="E1784" s="102">
        <f>INSUMOS!E165</f>
        <v>9.8000000000000007</v>
      </c>
    </row>
    <row r="1785" spans="1:5" x14ac:dyDescent="0.25">
      <c r="A1785" s="77" t="s">
        <v>1133</v>
      </c>
      <c r="B1785" s="78">
        <f>INSUMOS!B214</f>
        <v>260000</v>
      </c>
      <c r="C1785" s="98">
        <v>1</v>
      </c>
      <c r="D1785" s="75">
        <f>C1785*B1785</f>
        <v>260000</v>
      </c>
      <c r="E1785" s="97">
        <f>INSUMOS!E214</f>
        <v>4</v>
      </c>
    </row>
    <row r="1786" spans="1:5" x14ac:dyDescent="0.25">
      <c r="A1786" s="77" t="s">
        <v>726</v>
      </c>
      <c r="B1786" s="78">
        <f>INSUMOS!B352</f>
        <v>230000</v>
      </c>
      <c r="C1786" s="98">
        <v>1</v>
      </c>
      <c r="D1786" s="75">
        <f>C1786*B1786</f>
        <v>230000</v>
      </c>
      <c r="E1786" s="105" t="s">
        <v>232</v>
      </c>
    </row>
    <row r="1787" spans="1:5" x14ac:dyDescent="0.25">
      <c r="A1787" s="77" t="s">
        <v>727</v>
      </c>
      <c r="B1787" s="78">
        <f>INSUMOS!B315</f>
        <v>70000</v>
      </c>
      <c r="C1787" s="98">
        <v>1</v>
      </c>
      <c r="D1787" s="75">
        <f>C1787*B1787</f>
        <v>70000</v>
      </c>
      <c r="E1787" s="105"/>
    </row>
    <row r="1788" spans="1:5" x14ac:dyDescent="0.25">
      <c r="A1788" s="82"/>
      <c r="B1788" s="83"/>
      <c r="C1788" s="113" t="s">
        <v>122</v>
      </c>
      <c r="D1788" s="83">
        <f>SUM(D1784:D1787)</f>
        <v>847000</v>
      </c>
      <c r="E1788" s="100">
        <f>SUM(E1784:E1787)</f>
        <v>13.8</v>
      </c>
    </row>
    <row r="1790" spans="1:5" x14ac:dyDescent="0.25">
      <c r="A1790" s="279" t="s">
        <v>1134</v>
      </c>
      <c r="B1790" s="279"/>
      <c r="C1790" s="279"/>
      <c r="D1790" s="279"/>
      <c r="E1790" s="279"/>
    </row>
    <row r="1791" spans="1:5" x14ac:dyDescent="0.25">
      <c r="A1791" s="71" t="s">
        <v>92</v>
      </c>
      <c r="B1791" s="72" t="s">
        <v>226</v>
      </c>
      <c r="C1791" s="72" t="s">
        <v>227</v>
      </c>
      <c r="D1791" s="72" t="s">
        <v>228</v>
      </c>
      <c r="E1791" s="73" t="s">
        <v>229</v>
      </c>
    </row>
    <row r="1792" spans="1:5" x14ac:dyDescent="0.25">
      <c r="A1792" s="74" t="s">
        <v>878</v>
      </c>
      <c r="B1792" s="75">
        <f>INSUMOS!B165</f>
        <v>287000</v>
      </c>
      <c r="C1792" s="103">
        <v>1</v>
      </c>
      <c r="D1792" s="75">
        <f>C1792*B1792</f>
        <v>287000</v>
      </c>
      <c r="E1792" s="102">
        <f>INSUMOS!E165</f>
        <v>9.8000000000000007</v>
      </c>
    </row>
    <row r="1793" spans="1:5" x14ac:dyDescent="0.25">
      <c r="A1793" s="77" t="s">
        <v>1135</v>
      </c>
      <c r="B1793" s="78">
        <f>INSUMOS!B215</f>
        <v>280000</v>
      </c>
      <c r="C1793" s="98">
        <v>1</v>
      </c>
      <c r="D1793" s="75">
        <f>C1793*B1793</f>
        <v>280000</v>
      </c>
      <c r="E1793" s="97">
        <f>INSUMOS!E215</f>
        <v>5</v>
      </c>
    </row>
    <row r="1794" spans="1:5" x14ac:dyDescent="0.25">
      <c r="A1794" s="77" t="s">
        <v>726</v>
      </c>
      <c r="B1794" s="78">
        <f>INSUMOS!B352</f>
        <v>230000</v>
      </c>
      <c r="C1794" s="98">
        <v>1</v>
      </c>
      <c r="D1794" s="75">
        <f>C1794*B1794</f>
        <v>230000</v>
      </c>
      <c r="E1794" s="105" t="s">
        <v>232</v>
      </c>
    </row>
    <row r="1795" spans="1:5" x14ac:dyDescent="0.25">
      <c r="A1795" s="77" t="s">
        <v>727</v>
      </c>
      <c r="B1795" s="78">
        <f>INSUMOS!B315</f>
        <v>70000</v>
      </c>
      <c r="C1795" s="98">
        <v>1</v>
      </c>
      <c r="D1795" s="75">
        <f>C1795*B1795</f>
        <v>70000</v>
      </c>
      <c r="E1795" s="105"/>
    </row>
    <row r="1796" spans="1:5" x14ac:dyDescent="0.25">
      <c r="A1796" s="82"/>
      <c r="B1796" s="83"/>
      <c r="C1796" s="113" t="s">
        <v>122</v>
      </c>
      <c r="D1796" s="83">
        <f>SUM(D1792:D1795)</f>
        <v>867000</v>
      </c>
      <c r="E1796" s="100">
        <f>SUM(E1792:E1795)</f>
        <v>14.8</v>
      </c>
    </row>
    <row r="1798" spans="1:5" x14ac:dyDescent="0.25">
      <c r="A1798" s="279" t="s">
        <v>1136</v>
      </c>
      <c r="B1798" s="279"/>
      <c r="C1798" s="279"/>
      <c r="D1798" s="279"/>
      <c r="E1798" s="279"/>
    </row>
    <row r="1799" spans="1:5" x14ac:dyDescent="0.25">
      <c r="A1799" s="72" t="s">
        <v>92</v>
      </c>
      <c r="B1799" s="72" t="s">
        <v>226</v>
      </c>
      <c r="C1799" s="72" t="s">
        <v>227</v>
      </c>
      <c r="D1799" s="72" t="s">
        <v>228</v>
      </c>
      <c r="E1799" s="73" t="s">
        <v>229</v>
      </c>
    </row>
    <row r="1800" spans="1:5" x14ac:dyDescent="0.25">
      <c r="A1800" s="74" t="s">
        <v>661</v>
      </c>
      <c r="B1800" s="75">
        <f>INSUMOS!B132</f>
        <v>170000</v>
      </c>
      <c r="C1800" s="103">
        <v>1</v>
      </c>
      <c r="D1800" s="75">
        <f>C1800*B1800</f>
        <v>170000</v>
      </c>
      <c r="E1800" s="102">
        <f>INSUMOS!E132</f>
        <v>4.08</v>
      </c>
    </row>
    <row r="1801" spans="1:5" x14ac:dyDescent="0.25">
      <c r="A1801" s="77" t="s">
        <v>1137</v>
      </c>
      <c r="B1801" s="78">
        <f>INSUMOS!B241</f>
        <v>250000</v>
      </c>
      <c r="C1801" s="98">
        <v>1</v>
      </c>
      <c r="D1801" s="75">
        <f>C1801*B1801</f>
        <v>250000</v>
      </c>
      <c r="E1801" s="97">
        <f>INSUMOS!E241</f>
        <v>4</v>
      </c>
    </row>
    <row r="1802" spans="1:5" x14ac:dyDescent="0.25">
      <c r="A1802" s="77" t="s">
        <v>662</v>
      </c>
      <c r="B1802" s="78">
        <f>INSUMOS!B290</f>
        <v>130000</v>
      </c>
      <c r="C1802" s="98">
        <v>1</v>
      </c>
      <c r="D1802" s="75">
        <f>C1802*B1802</f>
        <v>130000</v>
      </c>
      <c r="E1802" s="105"/>
    </row>
    <row r="1803" spans="1:5" x14ac:dyDescent="0.25">
      <c r="A1803" s="77" t="s">
        <v>663</v>
      </c>
      <c r="B1803" s="78">
        <f>INSUMOS!B304</f>
        <v>60000</v>
      </c>
      <c r="C1803" s="98">
        <v>1</v>
      </c>
      <c r="D1803" s="75">
        <f>C1803*B1803</f>
        <v>60000</v>
      </c>
      <c r="E1803" s="105"/>
    </row>
    <row r="1804" spans="1:5" x14ac:dyDescent="0.25">
      <c r="A1804" s="82"/>
      <c r="B1804" s="83"/>
      <c r="C1804" s="83" t="s">
        <v>122</v>
      </c>
      <c r="D1804" s="83">
        <f>SUM(D1800:D1803)</f>
        <v>610000</v>
      </c>
      <c r="E1804" s="100">
        <f>SUM(E1800:E1803)</f>
        <v>8.08</v>
      </c>
    </row>
    <row r="1806" spans="1:5" x14ac:dyDescent="0.25">
      <c r="A1806" s="279" t="s">
        <v>1138</v>
      </c>
      <c r="B1806" s="279"/>
      <c r="C1806" s="279"/>
      <c r="D1806" s="279"/>
      <c r="E1806" s="279"/>
    </row>
    <row r="1807" spans="1:5" x14ac:dyDescent="0.25">
      <c r="A1807" s="72" t="s">
        <v>92</v>
      </c>
      <c r="B1807" s="72" t="s">
        <v>93</v>
      </c>
      <c r="C1807" s="72" t="s">
        <v>227</v>
      </c>
      <c r="D1807" s="72" t="s">
        <v>228</v>
      </c>
      <c r="E1807" s="114" t="s">
        <v>229</v>
      </c>
    </row>
    <row r="1808" spans="1:5" x14ac:dyDescent="0.25">
      <c r="A1808" s="74" t="s">
        <v>1139</v>
      </c>
      <c r="B1808" s="75">
        <f>INSUMOS!B175</f>
        <v>250000</v>
      </c>
      <c r="C1808" s="103">
        <v>1</v>
      </c>
      <c r="D1808" s="75">
        <f>C1808*B1808</f>
        <v>250000</v>
      </c>
      <c r="E1808" s="102">
        <f>INSUMOS!E175</f>
        <v>15.000000000000007</v>
      </c>
    </row>
    <row r="1809" spans="1:5" x14ac:dyDescent="0.25">
      <c r="A1809" s="77" t="s">
        <v>1140</v>
      </c>
      <c r="B1809" s="78">
        <f>INSUMOS!B220</f>
        <v>120000</v>
      </c>
      <c r="C1809" s="98">
        <v>1</v>
      </c>
      <c r="D1809" s="75">
        <f>C1809*B1809</f>
        <v>120000</v>
      </c>
      <c r="E1809" s="97">
        <f>INSUMOS!E220</f>
        <v>4</v>
      </c>
    </row>
    <row r="1810" spans="1:5" x14ac:dyDescent="0.25">
      <c r="A1810" s="77" t="s">
        <v>1141</v>
      </c>
      <c r="B1810" s="78">
        <f>INSUMOS!B365</f>
        <v>450000</v>
      </c>
      <c r="C1810" s="98">
        <v>1</v>
      </c>
      <c r="D1810" s="75">
        <f>C1810*B1810</f>
        <v>450000</v>
      </c>
      <c r="E1810" s="105" t="s">
        <v>232</v>
      </c>
    </row>
    <row r="1811" spans="1:5" x14ac:dyDescent="0.25">
      <c r="A1811" s="77" t="s">
        <v>1142</v>
      </c>
      <c r="B1811" s="78">
        <f>INSUMOS!B339</f>
        <v>100000</v>
      </c>
      <c r="C1811" s="98">
        <v>1</v>
      </c>
      <c r="D1811" s="75">
        <f>C1811*B1811</f>
        <v>100000</v>
      </c>
      <c r="E1811" s="105"/>
    </row>
    <row r="1812" spans="1:5" x14ac:dyDescent="0.25">
      <c r="A1812" s="82"/>
      <c r="B1812" s="83"/>
      <c r="C1812" s="83" t="s">
        <v>122</v>
      </c>
      <c r="D1812" s="83">
        <f>SUM(D1808:D1811)</f>
        <v>920000</v>
      </c>
      <c r="E1812" s="100">
        <f>SUM(E1808:E1811)</f>
        <v>19.000000000000007</v>
      </c>
    </row>
    <row r="1814" spans="1:5" x14ac:dyDescent="0.25">
      <c r="A1814" s="279" t="s">
        <v>1143</v>
      </c>
      <c r="B1814" s="279"/>
      <c r="C1814" s="279"/>
      <c r="D1814" s="279"/>
      <c r="E1814" s="279"/>
    </row>
    <row r="1815" spans="1:5" x14ac:dyDescent="0.25">
      <c r="A1815" s="72" t="s">
        <v>92</v>
      </c>
      <c r="B1815" s="72" t="s">
        <v>93</v>
      </c>
      <c r="C1815" s="72" t="s">
        <v>227</v>
      </c>
      <c r="D1815" s="72" t="s">
        <v>228</v>
      </c>
      <c r="E1815" s="114" t="s">
        <v>229</v>
      </c>
    </row>
    <row r="1816" spans="1:5" x14ac:dyDescent="0.25">
      <c r="A1816" s="74" t="s">
        <v>1042</v>
      </c>
      <c r="B1816" s="75">
        <f>INSUMOS!B174</f>
        <v>335000</v>
      </c>
      <c r="C1816" s="103">
        <v>1</v>
      </c>
      <c r="D1816" s="75">
        <f>C1816*B1816</f>
        <v>335000</v>
      </c>
      <c r="E1816" s="102">
        <f>INSUMOS!E174</f>
        <v>7.333333333333333</v>
      </c>
    </row>
    <row r="1817" spans="1:5" x14ac:dyDescent="0.25">
      <c r="A1817" s="77" t="s">
        <v>1140</v>
      </c>
      <c r="B1817" s="78">
        <f>INSUMOS!B220</f>
        <v>120000</v>
      </c>
      <c r="C1817" s="98">
        <v>1</v>
      </c>
      <c r="D1817" s="75">
        <f>C1817*B1817</f>
        <v>120000</v>
      </c>
      <c r="E1817" s="97">
        <f>INSUMOS!E220</f>
        <v>4</v>
      </c>
    </row>
    <row r="1818" spans="1:5" x14ac:dyDescent="0.25">
      <c r="A1818" s="77" t="s">
        <v>1043</v>
      </c>
      <c r="B1818" s="78">
        <f>INSUMOS!B364</f>
        <v>310000</v>
      </c>
      <c r="C1818" s="98">
        <v>1</v>
      </c>
      <c r="D1818" s="75">
        <f>C1818*B1818</f>
        <v>310000</v>
      </c>
      <c r="E1818" s="105" t="s">
        <v>232</v>
      </c>
    </row>
    <row r="1819" spans="1:5" x14ac:dyDescent="0.25">
      <c r="A1819" s="77" t="s">
        <v>1045</v>
      </c>
      <c r="B1819" s="78">
        <f>INSUMOS!B338</f>
        <v>80000</v>
      </c>
      <c r="C1819" s="98">
        <v>1</v>
      </c>
      <c r="D1819" s="75">
        <f>C1819*B1819</f>
        <v>80000</v>
      </c>
      <c r="E1819" s="105"/>
    </row>
    <row r="1820" spans="1:5" x14ac:dyDescent="0.25">
      <c r="A1820" s="82"/>
      <c r="B1820" s="83"/>
      <c r="C1820" s="83" t="s">
        <v>122</v>
      </c>
      <c r="D1820" s="83">
        <f>SUM(D1816:D1819)</f>
        <v>845000</v>
      </c>
      <c r="E1820" s="100">
        <f>SUM(E1816:E1819)</f>
        <v>11.333333333333332</v>
      </c>
    </row>
    <row r="1822" spans="1:5" x14ac:dyDescent="0.25">
      <c r="A1822" s="279" t="s">
        <v>1144</v>
      </c>
      <c r="B1822" s="279"/>
      <c r="C1822" s="279"/>
      <c r="D1822" s="279"/>
      <c r="E1822" s="279"/>
    </row>
    <row r="1823" spans="1:5" x14ac:dyDescent="0.25">
      <c r="A1823" s="72" t="s">
        <v>92</v>
      </c>
      <c r="B1823" s="72" t="s">
        <v>93</v>
      </c>
      <c r="C1823" s="72" t="s">
        <v>227</v>
      </c>
      <c r="D1823" s="72" t="s">
        <v>228</v>
      </c>
      <c r="E1823" s="114" t="s">
        <v>229</v>
      </c>
    </row>
    <row r="1824" spans="1:5" x14ac:dyDescent="0.25">
      <c r="A1824" s="74" t="s">
        <v>868</v>
      </c>
      <c r="B1824" s="75">
        <f>+INSUMOS!B185</f>
        <v>1625000</v>
      </c>
      <c r="C1824" s="103">
        <v>1</v>
      </c>
      <c r="D1824" s="75">
        <f t="shared" ref="D1824:D1829" si="46">C1824*B1824</f>
        <v>1625000</v>
      </c>
      <c r="E1824" s="102">
        <f>INSUMOS!E185</f>
        <v>68.75</v>
      </c>
    </row>
    <row r="1825" spans="1:5" x14ac:dyDescent="0.25">
      <c r="A1825" s="77" t="s">
        <v>796</v>
      </c>
      <c r="B1825" s="78">
        <f>+INSUMOS!B231</f>
        <v>456000</v>
      </c>
      <c r="C1825" s="98">
        <v>1</v>
      </c>
      <c r="D1825" s="75">
        <f t="shared" si="46"/>
        <v>456000</v>
      </c>
      <c r="E1825" s="97">
        <f>+INSUMOS!E231</f>
        <v>16</v>
      </c>
    </row>
    <row r="1826" spans="1:5" x14ac:dyDescent="0.25">
      <c r="A1826" s="77" t="s">
        <v>870</v>
      </c>
      <c r="B1826" s="78">
        <f>+INSUMOS!B409</f>
        <v>210000</v>
      </c>
      <c r="C1826" s="98">
        <v>1</v>
      </c>
      <c r="D1826" s="75">
        <f t="shared" si="46"/>
        <v>210000</v>
      </c>
      <c r="E1826" s="97"/>
    </row>
    <row r="1827" spans="1:5" x14ac:dyDescent="0.25">
      <c r="A1827" s="77" t="s">
        <v>871</v>
      </c>
      <c r="B1827" s="78">
        <f>INSUMOS!B370</f>
        <v>760000</v>
      </c>
      <c r="C1827" s="98">
        <v>1</v>
      </c>
      <c r="D1827" s="75">
        <f t="shared" si="46"/>
        <v>760000</v>
      </c>
      <c r="E1827" s="105" t="s">
        <v>232</v>
      </c>
    </row>
    <row r="1828" spans="1:5" x14ac:dyDescent="0.25">
      <c r="A1828" s="77" t="s">
        <v>872</v>
      </c>
      <c r="B1828" s="78">
        <f>+INSUMOS!B390</f>
        <v>220000</v>
      </c>
      <c r="C1828" s="98">
        <v>1</v>
      </c>
      <c r="D1828" s="75">
        <f t="shared" si="46"/>
        <v>220000</v>
      </c>
      <c r="E1828" s="105"/>
    </row>
    <row r="1829" spans="1:5" x14ac:dyDescent="0.25">
      <c r="A1829" s="77" t="s">
        <v>873</v>
      </c>
      <c r="B1829" s="78">
        <f>+INSUMOS!B344</f>
        <v>250000</v>
      </c>
      <c r="C1829" s="98">
        <v>1</v>
      </c>
      <c r="D1829" s="75">
        <f t="shared" si="46"/>
        <v>250000</v>
      </c>
      <c r="E1829" s="105"/>
    </row>
    <row r="1830" spans="1:5" x14ac:dyDescent="0.25">
      <c r="A1830" s="82"/>
      <c r="B1830" s="83"/>
      <c r="C1830" s="83" t="s">
        <v>122</v>
      </c>
      <c r="D1830" s="83">
        <f>SUM(D1824:D1829)</f>
        <v>3521000</v>
      </c>
      <c r="E1830" s="100">
        <f>SUM(E1824:E1829)</f>
        <v>84.75</v>
      </c>
    </row>
    <row r="1832" spans="1:5" x14ac:dyDescent="0.25">
      <c r="A1832" s="279" t="s">
        <v>1145</v>
      </c>
      <c r="B1832" s="279"/>
      <c r="C1832" s="279"/>
      <c r="D1832" s="279"/>
      <c r="E1832" s="279"/>
    </row>
    <row r="1833" spans="1:5" x14ac:dyDescent="0.25">
      <c r="A1833" s="72" t="s">
        <v>92</v>
      </c>
      <c r="B1833" s="72" t="s">
        <v>93</v>
      </c>
      <c r="C1833" s="72" t="s">
        <v>227</v>
      </c>
      <c r="D1833" s="72" t="s">
        <v>228</v>
      </c>
      <c r="E1833" s="114" t="s">
        <v>229</v>
      </c>
    </row>
    <row r="1834" spans="1:5" x14ac:dyDescent="0.25">
      <c r="A1834" s="74" t="s">
        <v>825</v>
      </c>
      <c r="B1834" s="75">
        <f>+INSUMOS!B184</f>
        <v>1100000</v>
      </c>
      <c r="C1834" s="103">
        <v>1</v>
      </c>
      <c r="D1834" s="75">
        <f t="shared" ref="D1834:D1839" si="47">C1834*B1834</f>
        <v>1100000</v>
      </c>
      <c r="E1834" s="102">
        <f>+INSUMOS!E184</f>
        <v>55</v>
      </c>
    </row>
    <row r="1835" spans="1:5" x14ac:dyDescent="0.25">
      <c r="A1835" s="77" t="s">
        <v>796</v>
      </c>
      <c r="B1835" s="78">
        <f>+INSUMOS!B231</f>
        <v>456000</v>
      </c>
      <c r="C1835" s="98">
        <v>1</v>
      </c>
      <c r="D1835" s="75">
        <f t="shared" si="47"/>
        <v>456000</v>
      </c>
      <c r="E1835" s="97">
        <f>+INSUMOS!E231</f>
        <v>16</v>
      </c>
    </row>
    <row r="1836" spans="1:5" x14ac:dyDescent="0.25">
      <c r="A1836" s="77" t="s">
        <v>827</v>
      </c>
      <c r="B1836" s="78">
        <f>INSUMOS!B408</f>
        <v>170000</v>
      </c>
      <c r="C1836" s="98">
        <v>1</v>
      </c>
      <c r="D1836" s="75">
        <f t="shared" si="47"/>
        <v>170000</v>
      </c>
      <c r="E1836" s="97"/>
    </row>
    <row r="1837" spans="1:5" x14ac:dyDescent="0.25">
      <c r="A1837" s="77" t="s">
        <v>828</v>
      </c>
      <c r="B1837" s="78">
        <f>+INSUMOS!B369</f>
        <v>650000</v>
      </c>
      <c r="C1837" s="98">
        <v>1</v>
      </c>
      <c r="D1837" s="75">
        <f t="shared" si="47"/>
        <v>650000</v>
      </c>
      <c r="E1837" s="105" t="s">
        <v>232</v>
      </c>
    </row>
    <row r="1838" spans="1:5" x14ac:dyDescent="0.25">
      <c r="A1838" s="77" t="s">
        <v>829</v>
      </c>
      <c r="B1838" s="78">
        <f>+INSUMOS!B389</f>
        <v>100000</v>
      </c>
      <c r="C1838" s="98">
        <v>1</v>
      </c>
      <c r="D1838" s="75">
        <f t="shared" si="47"/>
        <v>100000</v>
      </c>
      <c r="E1838" s="105"/>
    </row>
    <row r="1839" spans="1:5" x14ac:dyDescent="0.25">
      <c r="A1839" s="77" t="s">
        <v>830</v>
      </c>
      <c r="B1839" s="78">
        <f>+INSUMOS!B343</f>
        <v>200000</v>
      </c>
      <c r="C1839" s="98">
        <v>1</v>
      </c>
      <c r="D1839" s="75">
        <f t="shared" si="47"/>
        <v>200000</v>
      </c>
      <c r="E1839" s="105"/>
    </row>
    <row r="1840" spans="1:5" x14ac:dyDescent="0.25">
      <c r="A1840" s="82"/>
      <c r="B1840" s="83"/>
      <c r="C1840" s="83" t="s">
        <v>122</v>
      </c>
      <c r="D1840" s="83">
        <f>SUM(D1834:D1839)</f>
        <v>2676000</v>
      </c>
      <c r="E1840" s="100">
        <f>SUM(E1834:E1839)</f>
        <v>71</v>
      </c>
    </row>
    <row r="1842" spans="1:5" x14ac:dyDescent="0.25">
      <c r="A1842" s="279" t="s">
        <v>1146</v>
      </c>
      <c r="B1842" s="279"/>
      <c r="C1842" s="279"/>
      <c r="D1842" s="279"/>
      <c r="E1842" s="279"/>
    </row>
    <row r="1843" spans="1:5" x14ac:dyDescent="0.25">
      <c r="A1843" s="72" t="s">
        <v>92</v>
      </c>
      <c r="B1843" s="72" t="s">
        <v>93</v>
      </c>
      <c r="C1843" s="72" t="s">
        <v>227</v>
      </c>
      <c r="D1843" s="72" t="s">
        <v>228</v>
      </c>
      <c r="E1843" s="114" t="s">
        <v>229</v>
      </c>
    </row>
    <row r="1844" spans="1:5" x14ac:dyDescent="0.25">
      <c r="A1844" s="74" t="s">
        <v>1059</v>
      </c>
      <c r="B1844" s="75">
        <f>+INSUMOS!B186</f>
        <v>1950000</v>
      </c>
      <c r="C1844" s="103">
        <v>1</v>
      </c>
      <c r="D1844" s="75">
        <f t="shared" ref="D1844:D1849" si="48">C1844*B1844</f>
        <v>1950000</v>
      </c>
      <c r="E1844" s="102">
        <f>+INSUMOS!E186</f>
        <v>74.400000000000006</v>
      </c>
    </row>
    <row r="1845" spans="1:5" x14ac:dyDescent="0.25">
      <c r="A1845" s="77" t="s">
        <v>796</v>
      </c>
      <c r="B1845" s="78">
        <f>+INSUMOS!B231</f>
        <v>456000</v>
      </c>
      <c r="C1845" s="98">
        <v>1</v>
      </c>
      <c r="D1845" s="75">
        <f t="shared" si="48"/>
        <v>456000</v>
      </c>
      <c r="E1845" s="97">
        <f>+INSUMOS!E231</f>
        <v>16</v>
      </c>
    </row>
    <row r="1846" spans="1:5" x14ac:dyDescent="0.25">
      <c r="A1846" s="77" t="s">
        <v>958</v>
      </c>
      <c r="B1846" s="78">
        <f>+INSUMOS!B410</f>
        <v>210000</v>
      </c>
      <c r="C1846" s="98">
        <v>1</v>
      </c>
      <c r="D1846" s="75">
        <f t="shared" si="48"/>
        <v>210000</v>
      </c>
      <c r="E1846" s="97"/>
    </row>
    <row r="1847" spans="1:5" x14ac:dyDescent="0.25">
      <c r="A1847" s="77" t="s">
        <v>959</v>
      </c>
      <c r="B1847" s="78">
        <f>+INSUMOS!B371</f>
        <v>880000</v>
      </c>
      <c r="C1847" s="98">
        <v>1</v>
      </c>
      <c r="D1847" s="75">
        <f t="shared" si="48"/>
        <v>880000</v>
      </c>
      <c r="E1847" s="105" t="s">
        <v>232</v>
      </c>
    </row>
    <row r="1848" spans="1:5" x14ac:dyDescent="0.25">
      <c r="A1848" s="77" t="s">
        <v>960</v>
      </c>
      <c r="B1848" s="78">
        <f>+INSUMOS!B391</f>
        <v>260000</v>
      </c>
      <c r="C1848" s="98">
        <v>1</v>
      </c>
      <c r="D1848" s="75">
        <f t="shared" si="48"/>
        <v>260000</v>
      </c>
      <c r="E1848" s="105"/>
    </row>
    <row r="1849" spans="1:5" x14ac:dyDescent="0.25">
      <c r="A1849" s="77" t="s">
        <v>961</v>
      </c>
      <c r="B1849" s="78">
        <f>+INSUMOS!B345</f>
        <v>300000</v>
      </c>
      <c r="C1849" s="98">
        <v>1</v>
      </c>
      <c r="D1849" s="75">
        <f t="shared" si="48"/>
        <v>300000</v>
      </c>
      <c r="E1849" s="105"/>
    </row>
    <row r="1850" spans="1:5" x14ac:dyDescent="0.25">
      <c r="A1850" s="82"/>
      <c r="B1850" s="83"/>
      <c r="C1850" s="83" t="s">
        <v>122</v>
      </c>
      <c r="D1850" s="83">
        <f>SUM(D1844:D1849)</f>
        <v>4056000</v>
      </c>
      <c r="E1850" s="100">
        <f>SUM(E1844:E1849)</f>
        <v>90.4</v>
      </c>
    </row>
    <row r="1852" spans="1:5" x14ac:dyDescent="0.25">
      <c r="A1852" s="279" t="s">
        <v>1147</v>
      </c>
      <c r="B1852" s="279"/>
      <c r="C1852" s="279"/>
      <c r="D1852" s="279"/>
      <c r="E1852" s="279"/>
    </row>
    <row r="1853" spans="1:5" x14ac:dyDescent="0.25">
      <c r="A1853" s="72" t="s">
        <v>92</v>
      </c>
      <c r="B1853" s="72" t="s">
        <v>93</v>
      </c>
      <c r="C1853" s="72" t="s">
        <v>227</v>
      </c>
      <c r="D1853" s="72" t="s">
        <v>228</v>
      </c>
      <c r="E1853" s="114" t="s">
        <v>229</v>
      </c>
    </row>
    <row r="1854" spans="1:5" x14ac:dyDescent="0.25">
      <c r="A1854" s="74" t="s">
        <v>1059</v>
      </c>
      <c r="B1854" s="75">
        <f>INSUMOS!B186</f>
        <v>1950000</v>
      </c>
      <c r="C1854" s="103">
        <v>1</v>
      </c>
      <c r="D1854" s="75">
        <f t="shared" ref="D1854:D1859" si="49">C1854*B1854</f>
        <v>1950000</v>
      </c>
      <c r="E1854" s="102">
        <f>+INSUMOS!E181</f>
        <v>74.400000000000006</v>
      </c>
    </row>
    <row r="1855" spans="1:5" x14ac:dyDescent="0.25">
      <c r="A1855" s="77" t="s">
        <v>1148</v>
      </c>
      <c r="B1855" s="78">
        <f>INSUMOS!B230</f>
        <v>420000</v>
      </c>
      <c r="C1855" s="98">
        <v>1</v>
      </c>
      <c r="D1855" s="75">
        <f t="shared" si="49"/>
        <v>420000</v>
      </c>
      <c r="E1855" s="97">
        <f>INSUMOS!E230</f>
        <v>12</v>
      </c>
    </row>
    <row r="1856" spans="1:5" x14ac:dyDescent="0.25">
      <c r="A1856" s="77" t="s">
        <v>958</v>
      </c>
      <c r="B1856" s="78">
        <f>+INSUMOS!B407</f>
        <v>170000</v>
      </c>
      <c r="C1856" s="98">
        <v>1</v>
      </c>
      <c r="D1856" s="75">
        <f t="shared" si="49"/>
        <v>170000</v>
      </c>
      <c r="E1856" s="97"/>
    </row>
    <row r="1857" spans="1:5" x14ac:dyDescent="0.25">
      <c r="A1857" s="77" t="s">
        <v>959</v>
      </c>
      <c r="B1857" s="78">
        <f>+INSUMOS!B371</f>
        <v>880000</v>
      </c>
      <c r="C1857" s="98">
        <v>1</v>
      </c>
      <c r="D1857" s="75">
        <f t="shared" si="49"/>
        <v>880000</v>
      </c>
      <c r="E1857" s="105" t="s">
        <v>232</v>
      </c>
    </row>
    <row r="1858" spans="1:5" x14ac:dyDescent="0.25">
      <c r="A1858" s="77" t="s">
        <v>960</v>
      </c>
      <c r="B1858" s="78">
        <f>+INSUMOS!B391</f>
        <v>260000</v>
      </c>
      <c r="C1858" s="98">
        <v>1</v>
      </c>
      <c r="D1858" s="75">
        <f t="shared" si="49"/>
        <v>260000</v>
      </c>
      <c r="E1858" s="105"/>
    </row>
    <row r="1859" spans="1:5" x14ac:dyDescent="0.25">
      <c r="A1859" s="77" t="s">
        <v>961</v>
      </c>
      <c r="B1859" s="78">
        <f>+INSUMOS!B345</f>
        <v>300000</v>
      </c>
      <c r="C1859" s="98">
        <v>1</v>
      </c>
      <c r="D1859" s="75">
        <f t="shared" si="49"/>
        <v>300000</v>
      </c>
      <c r="E1859" s="105"/>
    </row>
    <row r="1860" spans="1:5" x14ac:dyDescent="0.25">
      <c r="A1860" s="82"/>
      <c r="B1860" s="83"/>
      <c r="C1860" s="83" t="s">
        <v>122</v>
      </c>
      <c r="D1860" s="83">
        <f>SUM(D1854:D1859)</f>
        <v>3980000</v>
      </c>
      <c r="E1860" s="100">
        <f>SUM(E1854:E1859)</f>
        <v>86.4</v>
      </c>
    </row>
    <row r="1862" spans="1:5" x14ac:dyDescent="0.25">
      <c r="A1862" s="279" t="s">
        <v>1149</v>
      </c>
      <c r="B1862" s="279"/>
      <c r="C1862" s="279"/>
      <c r="D1862" s="279"/>
      <c r="E1862" s="279"/>
    </row>
    <row r="1863" spans="1:5" x14ac:dyDescent="0.25">
      <c r="A1863" s="72" t="s">
        <v>92</v>
      </c>
      <c r="B1863" s="72" t="s">
        <v>93</v>
      </c>
      <c r="C1863" s="72" t="s">
        <v>227</v>
      </c>
      <c r="D1863" s="72" t="s">
        <v>228</v>
      </c>
      <c r="E1863" s="114" t="s">
        <v>229</v>
      </c>
    </row>
    <row r="1864" spans="1:5" x14ac:dyDescent="0.25">
      <c r="A1864" s="74" t="s">
        <v>868</v>
      </c>
      <c r="B1864" s="75">
        <f>+INSUMOS!B185</f>
        <v>1625000</v>
      </c>
      <c r="C1864" s="103">
        <v>1</v>
      </c>
      <c r="D1864" s="75">
        <f t="shared" ref="D1864:D1869" si="50">C1864*B1864</f>
        <v>1625000</v>
      </c>
      <c r="E1864" s="102">
        <f>+INSUMOS!E180</f>
        <v>62</v>
      </c>
    </row>
    <row r="1865" spans="1:5" x14ac:dyDescent="0.25">
      <c r="A1865" s="77" t="s">
        <v>1148</v>
      </c>
      <c r="B1865" s="78">
        <f>+INSUMOS!B230</f>
        <v>420000</v>
      </c>
      <c r="C1865" s="98">
        <v>1</v>
      </c>
      <c r="D1865" s="75">
        <f t="shared" si="50"/>
        <v>420000</v>
      </c>
      <c r="E1865" s="97">
        <f>+INSUMOS!E230</f>
        <v>12</v>
      </c>
    </row>
    <row r="1866" spans="1:5" x14ac:dyDescent="0.25">
      <c r="A1866" s="77" t="s">
        <v>1150</v>
      </c>
      <c r="B1866" s="78">
        <f>+INSUMOS!B407</f>
        <v>170000</v>
      </c>
      <c r="C1866" s="98">
        <v>1</v>
      </c>
      <c r="D1866" s="75">
        <f t="shared" si="50"/>
        <v>170000</v>
      </c>
      <c r="E1866" s="97"/>
    </row>
    <row r="1867" spans="1:5" x14ac:dyDescent="0.25">
      <c r="A1867" s="77" t="s">
        <v>871</v>
      </c>
      <c r="B1867" s="78">
        <f>+INSUMOS!B370</f>
        <v>760000</v>
      </c>
      <c r="C1867" s="98">
        <v>1</v>
      </c>
      <c r="D1867" s="75">
        <f t="shared" si="50"/>
        <v>760000</v>
      </c>
      <c r="E1867" s="105" t="s">
        <v>232</v>
      </c>
    </row>
    <row r="1868" spans="1:5" x14ac:dyDescent="0.25">
      <c r="A1868" s="77" t="s">
        <v>872</v>
      </c>
      <c r="B1868" s="78">
        <f>+INSUMOS!B390</f>
        <v>220000</v>
      </c>
      <c r="C1868" s="98">
        <v>1</v>
      </c>
      <c r="D1868" s="75">
        <f t="shared" si="50"/>
        <v>220000</v>
      </c>
      <c r="E1868" s="105"/>
    </row>
    <row r="1869" spans="1:5" x14ac:dyDescent="0.25">
      <c r="A1869" s="77" t="s">
        <v>873</v>
      </c>
      <c r="B1869" s="78">
        <f>+INSUMOS!B344</f>
        <v>250000</v>
      </c>
      <c r="C1869" s="98">
        <v>1</v>
      </c>
      <c r="D1869" s="75">
        <f t="shared" si="50"/>
        <v>250000</v>
      </c>
      <c r="E1869" s="105"/>
    </row>
    <row r="1870" spans="1:5" x14ac:dyDescent="0.25">
      <c r="A1870" s="82"/>
      <c r="B1870" s="83"/>
      <c r="C1870" s="83" t="s">
        <v>122</v>
      </c>
      <c r="D1870" s="83">
        <f>SUM(D1864:D1869)</f>
        <v>3445000</v>
      </c>
      <c r="E1870" s="100">
        <f>SUM(E1864:E1869)</f>
        <v>74</v>
      </c>
    </row>
    <row r="1872" spans="1:5" x14ac:dyDescent="0.25">
      <c r="A1872" s="279" t="s">
        <v>1151</v>
      </c>
      <c r="B1872" s="279"/>
      <c r="C1872" s="279"/>
      <c r="D1872" s="279"/>
      <c r="E1872" s="279"/>
    </row>
    <row r="1873" spans="1:7" x14ac:dyDescent="0.25">
      <c r="A1873" s="72" t="s">
        <v>92</v>
      </c>
      <c r="B1873" s="72" t="s">
        <v>93</v>
      </c>
      <c r="C1873" s="72" t="s">
        <v>227</v>
      </c>
      <c r="D1873" s="72" t="s">
        <v>228</v>
      </c>
      <c r="E1873" s="114" t="s">
        <v>229</v>
      </c>
    </row>
    <row r="1874" spans="1:7" x14ac:dyDescent="0.25">
      <c r="A1874" s="74" t="s">
        <v>825</v>
      </c>
      <c r="B1874" s="75">
        <f>+B1834</f>
        <v>1100000</v>
      </c>
      <c r="C1874" s="103">
        <v>1</v>
      </c>
      <c r="D1874" s="75">
        <f t="shared" ref="D1874:D1879" si="51">C1874*B1874</f>
        <v>1100000</v>
      </c>
      <c r="E1874" s="102">
        <f>+E1834</f>
        <v>55</v>
      </c>
    </row>
    <row r="1875" spans="1:7" x14ac:dyDescent="0.25">
      <c r="A1875" s="77" t="s">
        <v>1148</v>
      </c>
      <c r="B1875" s="78">
        <f>+INSUMOS!B230</f>
        <v>420000</v>
      </c>
      <c r="C1875" s="98">
        <v>1</v>
      </c>
      <c r="D1875" s="75">
        <f t="shared" si="51"/>
        <v>420000</v>
      </c>
      <c r="E1875" s="97">
        <f>+INSUMOS!E230</f>
        <v>12</v>
      </c>
    </row>
    <row r="1876" spans="1:7" x14ac:dyDescent="0.25">
      <c r="A1876" s="77" t="s">
        <v>827</v>
      </c>
      <c r="B1876" s="78">
        <f>+B1836</f>
        <v>170000</v>
      </c>
      <c r="C1876" s="98">
        <v>1</v>
      </c>
      <c r="D1876" s="75">
        <f t="shared" si="51"/>
        <v>170000</v>
      </c>
      <c r="E1876" s="97"/>
    </row>
    <row r="1877" spans="1:7" x14ac:dyDescent="0.25">
      <c r="A1877" s="77" t="s">
        <v>828</v>
      </c>
      <c r="B1877" s="78">
        <f>+B1837</f>
        <v>650000</v>
      </c>
      <c r="C1877" s="98">
        <v>1</v>
      </c>
      <c r="D1877" s="75">
        <f t="shared" si="51"/>
        <v>650000</v>
      </c>
      <c r="E1877" s="105" t="s">
        <v>232</v>
      </c>
      <c r="G1877" s="115"/>
    </row>
    <row r="1878" spans="1:7" x14ac:dyDescent="0.25">
      <c r="A1878" s="77" t="s">
        <v>829</v>
      </c>
      <c r="B1878" s="78">
        <f>+B1838</f>
        <v>100000</v>
      </c>
      <c r="C1878" s="98">
        <v>1</v>
      </c>
      <c r="D1878" s="75">
        <f t="shared" si="51"/>
        <v>100000</v>
      </c>
      <c r="E1878" s="105"/>
    </row>
    <row r="1879" spans="1:7" x14ac:dyDescent="0.25">
      <c r="A1879" s="77" t="s">
        <v>830</v>
      </c>
      <c r="B1879" s="78">
        <f>+B1839</f>
        <v>200000</v>
      </c>
      <c r="C1879" s="98">
        <v>1</v>
      </c>
      <c r="D1879" s="75">
        <f t="shared" si="51"/>
        <v>200000</v>
      </c>
      <c r="E1879" s="105"/>
    </row>
    <row r="1880" spans="1:7" x14ac:dyDescent="0.25">
      <c r="A1880" s="82"/>
      <c r="B1880" s="83"/>
      <c r="C1880" s="83" t="s">
        <v>122</v>
      </c>
      <c r="D1880" s="83">
        <f>SUM(D1874:D1879)</f>
        <v>2640000</v>
      </c>
      <c r="E1880" s="100">
        <f>SUM(E1874:E1879)</f>
        <v>67</v>
      </c>
    </row>
    <row r="1882" spans="1:7" x14ac:dyDescent="0.25">
      <c r="A1882" s="279" t="s">
        <v>1152</v>
      </c>
      <c r="B1882" s="279"/>
      <c r="C1882" s="279"/>
      <c r="D1882" s="279"/>
      <c r="E1882" s="279"/>
    </row>
    <row r="1883" spans="1:7" x14ac:dyDescent="0.25">
      <c r="A1883" s="72" t="s">
        <v>92</v>
      </c>
      <c r="B1883" s="72" t="s">
        <v>226</v>
      </c>
      <c r="C1883" s="72" t="s">
        <v>227</v>
      </c>
      <c r="D1883" s="72" t="s">
        <v>228</v>
      </c>
      <c r="E1883" s="73" t="s">
        <v>229</v>
      </c>
    </row>
    <row r="1884" spans="1:7" x14ac:dyDescent="0.25">
      <c r="A1884" s="74" t="s">
        <v>931</v>
      </c>
      <c r="B1884" s="75">
        <f>+INSUMOS!B131</f>
        <v>150000</v>
      </c>
      <c r="C1884" s="103">
        <v>1</v>
      </c>
      <c r="D1884" s="75">
        <f>C1884*B1884</f>
        <v>150000</v>
      </c>
      <c r="E1884" s="102">
        <f>+INSUMOS!E131</f>
        <v>4</v>
      </c>
    </row>
    <row r="1885" spans="1:7" x14ac:dyDescent="0.25">
      <c r="A1885" s="77" t="s">
        <v>1153</v>
      </c>
      <c r="B1885" s="78">
        <f>+INSUMOS!B242</f>
        <v>280000</v>
      </c>
      <c r="C1885" s="98">
        <v>1</v>
      </c>
      <c r="D1885" s="75">
        <f>C1885*B1885</f>
        <v>280000</v>
      </c>
      <c r="E1885" s="97">
        <f>+INSUMOS!E242</f>
        <v>5</v>
      </c>
    </row>
    <row r="1886" spans="1:7" x14ac:dyDescent="0.25">
      <c r="A1886" s="77" t="s">
        <v>672</v>
      </c>
      <c r="B1886" s="78">
        <f>+INSUMOS!B289</f>
        <v>100000</v>
      </c>
      <c r="C1886" s="98">
        <v>1</v>
      </c>
      <c r="D1886" s="75">
        <f>C1886*B1886</f>
        <v>100000</v>
      </c>
      <c r="E1886" s="105"/>
    </row>
    <row r="1887" spans="1:7" x14ac:dyDescent="0.25">
      <c r="A1887" s="77" t="s">
        <v>673</v>
      </c>
      <c r="B1887" s="78">
        <f>+INSUMOS!B303</f>
        <v>50000</v>
      </c>
      <c r="C1887" s="98">
        <v>1</v>
      </c>
      <c r="D1887" s="75">
        <f>C1887*B1887</f>
        <v>50000</v>
      </c>
      <c r="E1887" s="105"/>
    </row>
    <row r="1888" spans="1:7" x14ac:dyDescent="0.25">
      <c r="A1888" s="82"/>
      <c r="B1888" s="83"/>
      <c r="C1888" s="83" t="s">
        <v>122</v>
      </c>
      <c r="D1888" s="83">
        <f>SUM(D1884:D1887)</f>
        <v>580000</v>
      </c>
      <c r="E1888" s="100">
        <f>SUM(E1884:E1887)</f>
        <v>9</v>
      </c>
    </row>
    <row r="1890" spans="1:5" x14ac:dyDescent="0.25">
      <c r="A1890" s="279" t="s">
        <v>1154</v>
      </c>
      <c r="B1890" s="279"/>
      <c r="C1890" s="279"/>
      <c r="D1890" s="279"/>
      <c r="E1890" s="279"/>
    </row>
    <row r="1891" spans="1:5" x14ac:dyDescent="0.25">
      <c r="A1891" s="72" t="s">
        <v>92</v>
      </c>
      <c r="B1891" s="72" t="s">
        <v>226</v>
      </c>
      <c r="C1891" s="72" t="s">
        <v>227</v>
      </c>
      <c r="D1891" s="72" t="s">
        <v>228</v>
      </c>
      <c r="E1891" s="73" t="s">
        <v>229</v>
      </c>
    </row>
    <row r="1892" spans="1:5" x14ac:dyDescent="0.25">
      <c r="A1892" s="74" t="s">
        <v>891</v>
      </c>
      <c r="B1892" s="75">
        <f>+INSUMOS!B149</f>
        <v>150000</v>
      </c>
      <c r="C1892" s="103">
        <v>1</v>
      </c>
      <c r="D1892" s="75">
        <f>C1892*B1892</f>
        <v>150000</v>
      </c>
      <c r="E1892" s="102">
        <f>+INSUMOS!E149</f>
        <v>4.8</v>
      </c>
    </row>
    <row r="1893" spans="1:5" x14ac:dyDescent="0.25">
      <c r="A1893" s="77" t="s">
        <v>741</v>
      </c>
      <c r="B1893" s="78">
        <f>+INSUMOS!B209</f>
        <v>280000</v>
      </c>
      <c r="C1893" s="98">
        <v>1</v>
      </c>
      <c r="D1893" s="75">
        <f>C1893*B1893</f>
        <v>280000</v>
      </c>
      <c r="E1893" s="97">
        <f>+INSUMOS!E209</f>
        <v>6</v>
      </c>
    </row>
    <row r="1894" spans="1:5" x14ac:dyDescent="0.25">
      <c r="A1894" s="77" t="s">
        <v>676</v>
      </c>
      <c r="B1894" s="78">
        <f>+INSUMOS!B350</f>
        <v>150000</v>
      </c>
      <c r="C1894" s="98">
        <v>1</v>
      </c>
      <c r="D1894" s="75">
        <f>C1894*B1894</f>
        <v>150000</v>
      </c>
      <c r="E1894" s="105" t="s">
        <v>232</v>
      </c>
    </row>
    <row r="1895" spans="1:5" x14ac:dyDescent="0.25">
      <c r="A1895" s="77" t="s">
        <v>1120</v>
      </c>
      <c r="B1895" s="78">
        <f>+INSUMOS!B398</f>
        <v>75000</v>
      </c>
      <c r="C1895" s="98">
        <v>1</v>
      </c>
      <c r="D1895" s="75">
        <f>C1895*B1895</f>
        <v>75000</v>
      </c>
      <c r="E1895" s="105"/>
    </row>
    <row r="1896" spans="1:5" x14ac:dyDescent="0.25">
      <c r="A1896" s="77" t="s">
        <v>1155</v>
      </c>
      <c r="B1896" s="78">
        <f>+INSUMOS!B313</f>
        <v>50000</v>
      </c>
      <c r="C1896" s="98">
        <v>1</v>
      </c>
      <c r="D1896" s="75">
        <f>C1896*B1896</f>
        <v>50000</v>
      </c>
      <c r="E1896" s="105"/>
    </row>
    <row r="1897" spans="1:5" x14ac:dyDescent="0.25">
      <c r="A1897" s="82"/>
      <c r="B1897" s="83"/>
      <c r="C1897" s="83" t="s">
        <v>122</v>
      </c>
      <c r="D1897" s="83">
        <f>SUM(D1892:D1896)</f>
        <v>705000</v>
      </c>
      <c r="E1897" s="100">
        <f>SUM(E1892:E1896)</f>
        <v>10.8</v>
      </c>
    </row>
    <row r="1899" spans="1:5" x14ac:dyDescent="0.25">
      <c r="A1899" s="279" t="s">
        <v>1156</v>
      </c>
      <c r="B1899" s="279"/>
      <c r="C1899" s="279"/>
      <c r="D1899" s="279"/>
      <c r="E1899" s="279"/>
    </row>
    <row r="1900" spans="1:5" x14ac:dyDescent="0.25">
      <c r="A1900" s="72" t="s">
        <v>92</v>
      </c>
      <c r="B1900" s="72" t="s">
        <v>226</v>
      </c>
      <c r="C1900" s="72" t="s">
        <v>227</v>
      </c>
      <c r="D1900" s="72" t="s">
        <v>228</v>
      </c>
      <c r="E1900" s="73" t="s">
        <v>229</v>
      </c>
    </row>
    <row r="1901" spans="1:5" x14ac:dyDescent="0.25">
      <c r="A1901" s="74" t="s">
        <v>811</v>
      </c>
      <c r="B1901" s="75">
        <f>+INSUMOS!B153</f>
        <v>350000</v>
      </c>
      <c r="C1901" s="103">
        <v>1</v>
      </c>
      <c r="D1901" s="75">
        <f>C1901*B1901</f>
        <v>350000</v>
      </c>
      <c r="E1901" s="102">
        <f>+INSUMOS!E153</f>
        <v>22.5</v>
      </c>
    </row>
    <row r="1902" spans="1:5" x14ac:dyDescent="0.25">
      <c r="A1902" s="77" t="s">
        <v>1157</v>
      </c>
      <c r="B1902" s="78">
        <f>+INSUMOS!B206</f>
        <v>230000</v>
      </c>
      <c r="C1902" s="98">
        <v>1</v>
      </c>
      <c r="D1902" s="75">
        <f>C1902*B1902</f>
        <v>230000</v>
      </c>
      <c r="E1902" s="97">
        <f>+INSUMOS!E206</f>
        <v>3</v>
      </c>
    </row>
    <row r="1903" spans="1:5" x14ac:dyDescent="0.25">
      <c r="A1903" s="77" t="s">
        <v>736</v>
      </c>
      <c r="B1903" s="78">
        <f>+INSUMOS!B354</f>
        <v>530000</v>
      </c>
      <c r="C1903" s="98">
        <v>1</v>
      </c>
      <c r="D1903" s="75">
        <f>C1903*B1903</f>
        <v>530000</v>
      </c>
      <c r="E1903" s="105" t="s">
        <v>232</v>
      </c>
    </row>
    <row r="1904" spans="1:5" x14ac:dyDescent="0.25">
      <c r="A1904" s="77" t="s">
        <v>737</v>
      </c>
      <c r="B1904" s="78">
        <f>+INSUMOS!B317</f>
        <v>100000</v>
      </c>
      <c r="C1904" s="98">
        <v>1</v>
      </c>
      <c r="D1904" s="75">
        <f>C1904*B1904</f>
        <v>100000</v>
      </c>
      <c r="E1904" s="105"/>
    </row>
    <row r="1905" spans="1:5" x14ac:dyDescent="0.25">
      <c r="A1905" s="82"/>
      <c r="B1905" s="83"/>
      <c r="C1905" s="83" t="s">
        <v>122</v>
      </c>
      <c r="D1905" s="83">
        <f>SUM(D1901:D1904)</f>
        <v>1210000</v>
      </c>
      <c r="E1905" s="100">
        <f>SUM(E1901:E1904)</f>
        <v>25.5</v>
      </c>
    </row>
    <row r="1907" spans="1:5" x14ac:dyDescent="0.25">
      <c r="A1907" s="279" t="s">
        <v>1158</v>
      </c>
      <c r="B1907" s="279"/>
      <c r="C1907" s="279"/>
      <c r="D1907" s="279"/>
      <c r="E1907" s="279"/>
    </row>
    <row r="1908" spans="1:5" x14ac:dyDescent="0.25">
      <c r="A1908" s="72" t="s">
        <v>92</v>
      </c>
      <c r="B1908" s="72" t="s">
        <v>226</v>
      </c>
      <c r="C1908" s="72" t="s">
        <v>227</v>
      </c>
      <c r="D1908" s="72" t="s">
        <v>228</v>
      </c>
      <c r="E1908" s="73" t="s">
        <v>229</v>
      </c>
    </row>
    <row r="1909" spans="1:5" x14ac:dyDescent="0.25">
      <c r="A1909" s="74" t="s">
        <v>1159</v>
      </c>
      <c r="B1909" s="75">
        <f>+INSUMOS!B172</f>
        <v>200000</v>
      </c>
      <c r="C1909" s="103">
        <v>1</v>
      </c>
      <c r="D1909" s="75">
        <f>C1909*B1909</f>
        <v>200000</v>
      </c>
      <c r="E1909" s="102">
        <f>+INSUMOS!E172</f>
        <v>4.3</v>
      </c>
    </row>
    <row r="1910" spans="1:5" x14ac:dyDescent="0.25">
      <c r="A1910" s="77" t="s">
        <v>1160</v>
      </c>
      <c r="B1910" s="78">
        <f>+INSUMOS!B5</f>
        <v>154000</v>
      </c>
      <c r="C1910" s="98">
        <v>0.1</v>
      </c>
      <c r="D1910" s="75">
        <f>C1910*B1910</f>
        <v>15400</v>
      </c>
      <c r="E1910" s="97">
        <f>0.1*INSUMOS!E5</f>
        <v>1.5910614843661428</v>
      </c>
    </row>
    <row r="1911" spans="1:5" x14ac:dyDescent="0.25">
      <c r="A1911" s="77" t="s">
        <v>659</v>
      </c>
      <c r="B1911" s="78">
        <f>+INSUMOS!B297</f>
        <v>200000</v>
      </c>
      <c r="C1911" s="98">
        <v>1</v>
      </c>
      <c r="D1911" s="75">
        <f>C1911*B1911</f>
        <v>200000</v>
      </c>
      <c r="E1911" s="105" t="s">
        <v>232</v>
      </c>
    </row>
    <row r="1912" spans="1:5" x14ac:dyDescent="0.25">
      <c r="A1912" s="77" t="s">
        <v>1161</v>
      </c>
      <c r="B1912" s="78">
        <f>+INSUMOS!B362</f>
        <v>215000</v>
      </c>
      <c r="C1912" s="98">
        <v>1</v>
      </c>
      <c r="D1912" s="75">
        <f>C1912*B1912</f>
        <v>215000</v>
      </c>
      <c r="E1912" s="105"/>
    </row>
    <row r="1913" spans="1:5" x14ac:dyDescent="0.25">
      <c r="A1913" s="77" t="s">
        <v>1162</v>
      </c>
      <c r="B1913" s="78">
        <f>+INSUMOS!B336</f>
        <v>50000</v>
      </c>
      <c r="C1913" s="98">
        <v>1</v>
      </c>
      <c r="D1913" s="75">
        <f>C1913*B1913</f>
        <v>50000</v>
      </c>
      <c r="E1913" s="105"/>
    </row>
    <row r="1914" spans="1:5" x14ac:dyDescent="0.25">
      <c r="A1914" s="82"/>
      <c r="B1914" s="83"/>
      <c r="C1914" s="83" t="s">
        <v>122</v>
      </c>
      <c r="D1914" s="83">
        <f>SUM(D1909:D1913)</f>
        <v>680400</v>
      </c>
      <c r="E1914" s="100">
        <f>SUM(E1909:E1913)</f>
        <v>5.8910614843661424</v>
      </c>
    </row>
    <row r="1916" spans="1:5" x14ac:dyDescent="0.25">
      <c r="A1916" s="279" t="s">
        <v>1163</v>
      </c>
      <c r="B1916" s="279"/>
      <c r="C1916" s="279"/>
      <c r="D1916" s="279"/>
      <c r="E1916" s="279"/>
    </row>
    <row r="1917" spans="1:5" x14ac:dyDescent="0.25">
      <c r="A1917" s="72" t="s">
        <v>92</v>
      </c>
      <c r="B1917" s="72" t="s">
        <v>93</v>
      </c>
      <c r="C1917" s="72" t="s">
        <v>227</v>
      </c>
      <c r="D1917" s="72" t="s">
        <v>228</v>
      </c>
      <c r="E1917" s="114" t="s">
        <v>229</v>
      </c>
    </row>
    <row r="1918" spans="1:5" x14ac:dyDescent="0.25">
      <c r="A1918" s="74" t="s">
        <v>1119</v>
      </c>
      <c r="B1918" s="75">
        <f>+INSUMOS!B157</f>
        <v>1380000</v>
      </c>
      <c r="C1918" s="103">
        <v>1</v>
      </c>
      <c r="D1918" s="75">
        <f t="shared" ref="D1918:D1923" si="52">C1918*B1918</f>
        <v>1380000</v>
      </c>
      <c r="E1918" s="102">
        <f>+INSUMOS!E157</f>
        <v>54</v>
      </c>
    </row>
    <row r="1919" spans="1:5" x14ac:dyDescent="0.25">
      <c r="A1919" s="77" t="s">
        <v>882</v>
      </c>
      <c r="B1919" s="78">
        <f>+INSUMOS!B210</f>
        <v>325000</v>
      </c>
      <c r="C1919" s="98">
        <v>1</v>
      </c>
      <c r="D1919" s="75">
        <f t="shared" si="52"/>
        <v>325000</v>
      </c>
      <c r="E1919" s="97">
        <f>+INSUMOS!E210</f>
        <v>8</v>
      </c>
    </row>
    <row r="1920" spans="1:5" x14ac:dyDescent="0.25">
      <c r="A1920" s="77" t="s">
        <v>819</v>
      </c>
      <c r="B1920" s="78">
        <f>+INSUMOS!B399</f>
        <v>90000</v>
      </c>
      <c r="C1920" s="98">
        <v>1</v>
      </c>
      <c r="D1920" s="75">
        <f t="shared" si="52"/>
        <v>90000</v>
      </c>
      <c r="E1920" s="97"/>
    </row>
    <row r="1921" spans="1:5" x14ac:dyDescent="0.25">
      <c r="A1921" s="77" t="s">
        <v>1121</v>
      </c>
      <c r="B1921" s="78">
        <f>+INSUMOS!B358</f>
        <v>720000</v>
      </c>
      <c r="C1921" s="98">
        <v>1</v>
      </c>
      <c r="D1921" s="75">
        <f t="shared" si="52"/>
        <v>720000</v>
      </c>
      <c r="E1921" s="105" t="s">
        <v>232</v>
      </c>
    </row>
    <row r="1922" spans="1:5" x14ac:dyDescent="0.25">
      <c r="A1922" s="77" t="s">
        <v>1122</v>
      </c>
      <c r="B1922" s="78">
        <f>+INSUMOS!B377</f>
        <v>480000</v>
      </c>
      <c r="C1922" s="98">
        <v>1</v>
      </c>
      <c r="D1922" s="75">
        <f t="shared" si="52"/>
        <v>480000</v>
      </c>
      <c r="E1922" s="105"/>
    </row>
    <row r="1923" spans="1:5" x14ac:dyDescent="0.25">
      <c r="A1923" s="77" t="s">
        <v>1123</v>
      </c>
      <c r="B1923" s="78">
        <f>+INSUMOS!B321</f>
        <v>200000</v>
      </c>
      <c r="C1923" s="98">
        <v>1</v>
      </c>
      <c r="D1923" s="75">
        <f t="shared" si="52"/>
        <v>200000</v>
      </c>
      <c r="E1923" s="105"/>
    </row>
    <row r="1924" spans="1:5" x14ac:dyDescent="0.25">
      <c r="A1924" s="82"/>
      <c r="B1924" s="83"/>
      <c r="C1924" s="83" t="s">
        <v>122</v>
      </c>
      <c r="D1924" s="83">
        <f>SUM(D1918:D1923)</f>
        <v>3195000</v>
      </c>
      <c r="E1924" s="100">
        <f>SUM(E1918:E1923)</f>
        <v>62</v>
      </c>
    </row>
    <row r="1926" spans="1:5" x14ac:dyDescent="0.25">
      <c r="A1926" s="279" t="s">
        <v>1164</v>
      </c>
      <c r="B1926" s="279"/>
      <c r="C1926" s="279"/>
      <c r="D1926" s="279"/>
      <c r="E1926" s="279"/>
    </row>
    <row r="1927" spans="1:5" x14ac:dyDescent="0.25">
      <c r="A1927" s="72" t="s">
        <v>92</v>
      </c>
      <c r="B1927" s="72" t="s">
        <v>93</v>
      </c>
      <c r="C1927" s="72" t="s">
        <v>227</v>
      </c>
      <c r="D1927" s="72" t="s">
        <v>228</v>
      </c>
      <c r="E1927" s="114" t="s">
        <v>229</v>
      </c>
    </row>
    <row r="1928" spans="1:5" x14ac:dyDescent="0.25">
      <c r="A1928" s="74" t="s">
        <v>1165</v>
      </c>
      <c r="B1928" s="75">
        <f>+INSUMOS!B176</f>
        <v>300000</v>
      </c>
      <c r="C1928" s="103">
        <v>1</v>
      </c>
      <c r="D1928" s="75">
        <f t="shared" ref="D1928:D1933" si="53">C1928*B1928</f>
        <v>300000</v>
      </c>
      <c r="E1928" s="102">
        <f>+INSUMOS!E176</f>
        <v>22</v>
      </c>
    </row>
    <row r="1929" spans="1:5" x14ac:dyDescent="0.25">
      <c r="A1929" s="77" t="s">
        <v>876</v>
      </c>
      <c r="B1929" s="78">
        <f>+INSUMOS!B223</f>
        <v>230000</v>
      </c>
      <c r="C1929" s="98">
        <v>1</v>
      </c>
      <c r="D1929" s="75">
        <f t="shared" si="53"/>
        <v>230000</v>
      </c>
      <c r="E1929" s="97">
        <f>+INSUMOS!E223</f>
        <v>8</v>
      </c>
    </row>
    <row r="1930" spans="1:5" x14ac:dyDescent="0.25">
      <c r="A1930" s="77" t="s">
        <v>990</v>
      </c>
      <c r="B1930" s="78">
        <f>+INSUMOS!B405</f>
        <v>90000</v>
      </c>
      <c r="C1930" s="98">
        <v>1</v>
      </c>
      <c r="D1930" s="75">
        <f t="shared" si="53"/>
        <v>90000</v>
      </c>
      <c r="E1930" s="97"/>
    </row>
    <row r="1931" spans="1:5" x14ac:dyDescent="0.25">
      <c r="A1931" s="77" t="s">
        <v>1166</v>
      </c>
      <c r="B1931" s="78">
        <f>+INSUMOS!B366</f>
        <v>500000</v>
      </c>
      <c r="C1931" s="98">
        <v>1</v>
      </c>
      <c r="D1931" s="75">
        <f t="shared" si="53"/>
        <v>500000</v>
      </c>
      <c r="E1931" s="105" t="s">
        <v>232</v>
      </c>
    </row>
    <row r="1932" spans="1:5" x14ac:dyDescent="0.25">
      <c r="A1932" s="77" t="s">
        <v>1167</v>
      </c>
      <c r="B1932" s="78">
        <f>+INSUMOS!B386</f>
        <v>50000</v>
      </c>
      <c r="C1932" s="98">
        <v>1</v>
      </c>
      <c r="D1932" s="75">
        <f t="shared" si="53"/>
        <v>50000</v>
      </c>
      <c r="E1932" s="105"/>
    </row>
    <row r="1933" spans="1:5" x14ac:dyDescent="0.25">
      <c r="A1933" s="77" t="s">
        <v>1168</v>
      </c>
      <c r="B1933" s="78">
        <f>+INSUMOS!B340</f>
        <v>120000</v>
      </c>
      <c r="C1933" s="98">
        <v>1</v>
      </c>
      <c r="D1933" s="75">
        <f t="shared" si="53"/>
        <v>120000</v>
      </c>
      <c r="E1933" s="105"/>
    </row>
    <row r="1934" spans="1:5" x14ac:dyDescent="0.25">
      <c r="A1934" s="82"/>
      <c r="B1934" s="83"/>
      <c r="C1934" s="83" t="s">
        <v>122</v>
      </c>
      <c r="D1934" s="83">
        <f>SUM(D1928:D1933)</f>
        <v>1290000</v>
      </c>
      <c r="E1934" s="100">
        <f>SUM(E1928:E1933)</f>
        <v>30</v>
      </c>
    </row>
    <row r="1936" spans="1:5" x14ac:dyDescent="0.25">
      <c r="A1936" s="279" t="s">
        <v>1169</v>
      </c>
      <c r="B1936" s="279"/>
      <c r="C1936" s="279"/>
      <c r="D1936" s="279"/>
      <c r="E1936" s="279"/>
    </row>
    <row r="1937" spans="1:5" x14ac:dyDescent="0.25">
      <c r="A1937" s="72" t="s">
        <v>92</v>
      </c>
      <c r="B1937" s="72" t="s">
        <v>226</v>
      </c>
      <c r="C1937" s="72" t="s">
        <v>227</v>
      </c>
      <c r="D1937" s="72" t="s">
        <v>228</v>
      </c>
      <c r="E1937" s="73" t="s">
        <v>229</v>
      </c>
    </row>
    <row r="1938" spans="1:5" x14ac:dyDescent="0.25">
      <c r="A1938" s="74" t="s">
        <v>1159</v>
      </c>
      <c r="B1938" s="75">
        <f>+INSUMOS!B172</f>
        <v>200000</v>
      </c>
      <c r="C1938" s="103">
        <v>1</v>
      </c>
      <c r="D1938" s="75">
        <f>C1938*B1938</f>
        <v>200000</v>
      </c>
      <c r="E1938" s="102">
        <f>+INSUMOS!E172</f>
        <v>4.3</v>
      </c>
    </row>
    <row r="1939" spans="1:5" x14ac:dyDescent="0.25">
      <c r="A1939" s="77" t="s">
        <v>1170</v>
      </c>
      <c r="B1939" s="78">
        <f>+INSUMOS!B221</f>
        <v>150000</v>
      </c>
      <c r="C1939" s="98">
        <v>1</v>
      </c>
      <c r="D1939" s="75">
        <f>C1939*B1939</f>
        <v>150000</v>
      </c>
      <c r="E1939" s="97">
        <f>+INSUMOS!E221</f>
        <v>5</v>
      </c>
    </row>
    <row r="1940" spans="1:5" x14ac:dyDescent="0.25">
      <c r="A1940" s="77" t="s">
        <v>1161</v>
      </c>
      <c r="B1940" s="78">
        <f>+INSUMOS!B362</f>
        <v>215000</v>
      </c>
      <c r="C1940" s="98">
        <v>1</v>
      </c>
      <c r="D1940" s="75">
        <f>C1940*B1940</f>
        <v>215000</v>
      </c>
      <c r="E1940" s="105"/>
    </row>
    <row r="1941" spans="1:5" x14ac:dyDescent="0.25">
      <c r="A1941" s="77" t="s">
        <v>1171</v>
      </c>
      <c r="B1941" s="78">
        <f>+INSUMOS!B403</f>
        <v>90000</v>
      </c>
      <c r="C1941" s="98">
        <v>1</v>
      </c>
      <c r="D1941" s="75">
        <f>C1941*B1941</f>
        <v>90000</v>
      </c>
      <c r="E1941" s="105"/>
    </row>
    <row r="1942" spans="1:5" x14ac:dyDescent="0.25">
      <c r="A1942" s="77" t="s">
        <v>1172</v>
      </c>
      <c r="B1942" s="78">
        <f>+INSUMOS!B336</f>
        <v>50000</v>
      </c>
      <c r="C1942" s="98">
        <v>1</v>
      </c>
      <c r="D1942" s="75">
        <f>C1942*B1942</f>
        <v>50000</v>
      </c>
      <c r="E1942" s="105"/>
    </row>
    <row r="1943" spans="1:5" x14ac:dyDescent="0.25">
      <c r="A1943" s="82"/>
      <c r="B1943" s="83"/>
      <c r="C1943" s="83" t="s">
        <v>122</v>
      </c>
      <c r="D1943" s="83">
        <f>SUM(D1938:D1942)</f>
        <v>705000</v>
      </c>
      <c r="E1943" s="100">
        <f>SUM(E1938:E1942)</f>
        <v>9.3000000000000007</v>
      </c>
    </row>
    <row r="1945" spans="1:5" x14ac:dyDescent="0.25">
      <c r="A1945" s="279" t="s">
        <v>1173</v>
      </c>
      <c r="B1945" s="279"/>
      <c r="C1945" s="279"/>
      <c r="D1945" s="279"/>
      <c r="E1945" s="279"/>
    </row>
    <row r="1946" spans="1:5" x14ac:dyDescent="0.25">
      <c r="A1946" s="72" t="s">
        <v>92</v>
      </c>
      <c r="B1946" s="72" t="s">
        <v>226</v>
      </c>
      <c r="C1946" s="72" t="s">
        <v>227</v>
      </c>
      <c r="D1946" s="72" t="s">
        <v>228</v>
      </c>
      <c r="E1946" s="73" t="s">
        <v>229</v>
      </c>
    </row>
    <row r="1947" spans="1:5" x14ac:dyDescent="0.25">
      <c r="A1947" s="74" t="s">
        <v>891</v>
      </c>
      <c r="B1947" s="75">
        <f>+INSUMOS!B149</f>
        <v>150000</v>
      </c>
      <c r="C1947" s="103">
        <v>1</v>
      </c>
      <c r="D1947" s="75">
        <f>C1947*B1947</f>
        <v>150000</v>
      </c>
      <c r="E1947" s="102">
        <f>+INSUMOS!E149</f>
        <v>4.8</v>
      </c>
    </row>
    <row r="1948" spans="1:5" x14ac:dyDescent="0.25">
      <c r="A1948" s="77" t="s">
        <v>735</v>
      </c>
      <c r="B1948" s="78">
        <f>+INSUMOS!B207</f>
        <v>240000</v>
      </c>
      <c r="C1948" s="98">
        <v>1</v>
      </c>
      <c r="D1948" s="75">
        <f>C1948*B1948</f>
        <v>240000</v>
      </c>
      <c r="E1948" s="97">
        <f>+INSUMOS!E207</f>
        <v>4</v>
      </c>
    </row>
    <row r="1949" spans="1:5" x14ac:dyDescent="0.25">
      <c r="A1949" s="77" t="s">
        <v>676</v>
      </c>
      <c r="B1949" s="78">
        <f>+INSUMOS!B350</f>
        <v>150000</v>
      </c>
      <c r="C1949" s="98">
        <v>1</v>
      </c>
      <c r="D1949" s="75">
        <f>C1949*B1949</f>
        <v>150000</v>
      </c>
      <c r="E1949" s="105"/>
    </row>
    <row r="1950" spans="1:5" x14ac:dyDescent="0.25">
      <c r="A1950" s="77" t="s">
        <v>1174</v>
      </c>
      <c r="B1950" s="78">
        <f>+INSUMOS!B397</f>
        <v>75000</v>
      </c>
      <c r="C1950" s="98">
        <v>1</v>
      </c>
      <c r="D1950" s="75">
        <f>C1950*B1950</f>
        <v>75000</v>
      </c>
      <c r="E1950" s="105"/>
    </row>
    <row r="1951" spans="1:5" x14ac:dyDescent="0.25">
      <c r="A1951" s="77" t="s">
        <v>677</v>
      </c>
      <c r="B1951" s="78">
        <f>+INSUMOS!B313</f>
        <v>50000</v>
      </c>
      <c r="C1951" s="98">
        <v>1</v>
      </c>
      <c r="D1951" s="75">
        <f>C1951*B1951</f>
        <v>50000</v>
      </c>
      <c r="E1951" s="105"/>
    </row>
    <row r="1952" spans="1:5" x14ac:dyDescent="0.25">
      <c r="A1952" s="82"/>
      <c r="B1952" s="83"/>
      <c r="C1952" s="83" t="s">
        <v>122</v>
      </c>
      <c r="D1952" s="83">
        <f>SUM(D1947:D1951)</f>
        <v>665000</v>
      </c>
      <c r="E1952" s="100">
        <f>SUM(E1947:E1951)</f>
        <v>8.8000000000000007</v>
      </c>
    </row>
    <row r="1954" spans="1:5" x14ac:dyDescent="0.25">
      <c r="A1954" s="279" t="s">
        <v>1175</v>
      </c>
      <c r="B1954" s="279"/>
      <c r="C1954" s="279"/>
      <c r="D1954" s="279"/>
      <c r="E1954" s="279"/>
    </row>
    <row r="1955" spans="1:5" x14ac:dyDescent="0.25">
      <c r="A1955" s="72" t="s">
        <v>92</v>
      </c>
      <c r="B1955" s="72" t="s">
        <v>93</v>
      </c>
      <c r="C1955" s="72" t="s">
        <v>227</v>
      </c>
      <c r="D1955" s="72" t="s">
        <v>228</v>
      </c>
      <c r="E1955" s="114" t="s">
        <v>229</v>
      </c>
    </row>
    <row r="1956" spans="1:5" x14ac:dyDescent="0.25">
      <c r="A1956" s="74" t="s">
        <v>989</v>
      </c>
      <c r="B1956" s="75">
        <f>+INSUMOS!B178</f>
        <v>708333.33333333337</v>
      </c>
      <c r="C1956" s="103">
        <v>1</v>
      </c>
      <c r="D1956" s="75">
        <f t="shared" ref="D1956:D1961" si="54">C1956*B1956</f>
        <v>708333.33333333337</v>
      </c>
      <c r="E1956" s="102">
        <f>+INSUMOS!E178</f>
        <v>35</v>
      </c>
    </row>
    <row r="1957" spans="1:5" x14ac:dyDescent="0.25">
      <c r="A1957" s="77" t="s">
        <v>1176</v>
      </c>
      <c r="B1957" s="78">
        <f>+INSUMOS!B221</f>
        <v>150000</v>
      </c>
      <c r="C1957" s="98">
        <v>1</v>
      </c>
      <c r="D1957" s="75">
        <f t="shared" si="54"/>
        <v>150000</v>
      </c>
      <c r="E1957" s="97">
        <f>+INSUMOS!E221</f>
        <v>5</v>
      </c>
    </row>
    <row r="1958" spans="1:5" x14ac:dyDescent="0.25">
      <c r="A1958" s="77" t="s">
        <v>1171</v>
      </c>
      <c r="B1958" s="78">
        <f>+INSUMOS!B403</f>
        <v>90000</v>
      </c>
      <c r="C1958" s="98">
        <v>1</v>
      </c>
      <c r="D1958" s="75">
        <f t="shared" si="54"/>
        <v>90000</v>
      </c>
      <c r="E1958" s="97"/>
    </row>
    <row r="1959" spans="1:5" x14ac:dyDescent="0.25">
      <c r="A1959" s="77" t="s">
        <v>798</v>
      </c>
      <c r="B1959" s="78">
        <f>+INSUMOS!B368</f>
        <v>550000</v>
      </c>
      <c r="C1959" s="98">
        <v>1</v>
      </c>
      <c r="D1959" s="75">
        <f t="shared" si="54"/>
        <v>550000</v>
      </c>
      <c r="E1959" s="105" t="s">
        <v>232</v>
      </c>
    </row>
    <row r="1960" spans="1:5" x14ac:dyDescent="0.25">
      <c r="A1960" s="77" t="s">
        <v>799</v>
      </c>
      <c r="B1960" s="78">
        <f>+INSUMOS!B388</f>
        <v>50000</v>
      </c>
      <c r="C1960" s="98">
        <v>1</v>
      </c>
      <c r="D1960" s="75">
        <f t="shared" si="54"/>
        <v>50000</v>
      </c>
      <c r="E1960" s="105"/>
    </row>
    <row r="1961" spans="1:5" x14ac:dyDescent="0.25">
      <c r="A1961" s="77" t="s">
        <v>800</v>
      </c>
      <c r="B1961" s="78">
        <f>+INSUMOS!B342</f>
        <v>160000</v>
      </c>
      <c r="C1961" s="98">
        <v>1</v>
      </c>
      <c r="D1961" s="75">
        <f t="shared" si="54"/>
        <v>160000</v>
      </c>
      <c r="E1961" s="105"/>
    </row>
    <row r="1962" spans="1:5" x14ac:dyDescent="0.25">
      <c r="A1962" s="82"/>
      <c r="B1962" s="83"/>
      <c r="C1962" s="83" t="s">
        <v>122</v>
      </c>
      <c r="D1962" s="83">
        <f>SUM(D1956:D1961)</f>
        <v>1708333.3333333335</v>
      </c>
      <c r="E1962" s="100">
        <f>SUM(E1956:E1961)</f>
        <v>40</v>
      </c>
    </row>
    <row r="1963" spans="1:5" x14ac:dyDescent="0.25">
      <c r="A1963" s="16"/>
      <c r="B1963" s="16"/>
      <c r="C1963" s="16"/>
      <c r="D1963" s="16"/>
      <c r="E1963" s="16"/>
    </row>
    <row r="1964" spans="1:5" x14ac:dyDescent="0.25">
      <c r="A1964" s="279" t="s">
        <v>1177</v>
      </c>
      <c r="B1964" s="279"/>
      <c r="C1964" s="279"/>
      <c r="D1964" s="279"/>
      <c r="E1964" s="279"/>
    </row>
    <row r="1965" spans="1:5" x14ac:dyDescent="0.25">
      <c r="A1965" s="72" t="s">
        <v>92</v>
      </c>
      <c r="B1965" s="72" t="s">
        <v>93</v>
      </c>
      <c r="C1965" s="72" t="s">
        <v>227</v>
      </c>
      <c r="D1965" s="72" t="s">
        <v>228</v>
      </c>
      <c r="E1965" s="114" t="s">
        <v>229</v>
      </c>
    </row>
    <row r="1966" spans="1:5" x14ac:dyDescent="0.25">
      <c r="A1966" s="74" t="s">
        <v>978</v>
      </c>
      <c r="B1966" s="75">
        <f>+INSUMOS!B159</f>
        <v>2560000</v>
      </c>
      <c r="C1966" s="103">
        <v>1</v>
      </c>
      <c r="D1966" s="75">
        <f t="shared" ref="D1966:D1971" si="55">C1966*B1966</f>
        <v>2560000</v>
      </c>
      <c r="E1966" s="102">
        <f>+INSUMOS!E159</f>
        <v>235</v>
      </c>
    </row>
    <row r="1967" spans="1:5" x14ac:dyDescent="0.25">
      <c r="A1967" s="77" t="s">
        <v>1126</v>
      </c>
      <c r="B1967" s="78">
        <f>+INSUMOS!B212</f>
        <v>550000</v>
      </c>
      <c r="C1967" s="98">
        <v>1</v>
      </c>
      <c r="D1967" s="75">
        <f t="shared" si="55"/>
        <v>550000</v>
      </c>
      <c r="E1967" s="97">
        <f>+INSUMOS!E212</f>
        <v>13</v>
      </c>
    </row>
    <row r="1968" spans="1:5" x14ac:dyDescent="0.25">
      <c r="A1968" s="77" t="s">
        <v>805</v>
      </c>
      <c r="B1968" s="78">
        <f>+INSUMOS!B400</f>
        <v>170000</v>
      </c>
      <c r="C1968" s="98">
        <v>1</v>
      </c>
      <c r="D1968" s="75">
        <f t="shared" si="55"/>
        <v>170000</v>
      </c>
      <c r="E1968" s="97"/>
    </row>
    <row r="1969" spans="1:5" x14ac:dyDescent="0.25">
      <c r="A1969" s="77" t="s">
        <v>980</v>
      </c>
      <c r="B1969" s="78">
        <f>+INSUMOS!B360</f>
        <v>980000</v>
      </c>
      <c r="C1969" s="98">
        <v>1</v>
      </c>
      <c r="D1969" s="75">
        <f t="shared" si="55"/>
        <v>980000</v>
      </c>
      <c r="E1969" s="105" t="s">
        <v>232</v>
      </c>
    </row>
    <row r="1970" spans="1:5" x14ac:dyDescent="0.25">
      <c r="A1970" s="77" t="s">
        <v>981</v>
      </c>
      <c r="B1970" s="78">
        <f>+INSUMOS!B391</f>
        <v>260000</v>
      </c>
      <c r="C1970" s="98">
        <v>1</v>
      </c>
      <c r="D1970" s="75">
        <f t="shared" si="55"/>
        <v>260000</v>
      </c>
      <c r="E1970" s="105"/>
    </row>
    <row r="1971" spans="1:5" x14ac:dyDescent="0.25">
      <c r="A1971" s="77" t="s">
        <v>982</v>
      </c>
      <c r="B1971" s="78">
        <f>+INSUMOS!B323</f>
        <v>300000</v>
      </c>
      <c r="C1971" s="98">
        <v>1</v>
      </c>
      <c r="D1971" s="75">
        <f t="shared" si="55"/>
        <v>300000</v>
      </c>
      <c r="E1971" s="105"/>
    </row>
    <row r="1972" spans="1:5" x14ac:dyDescent="0.25">
      <c r="A1972" s="82"/>
      <c r="B1972" s="83"/>
      <c r="C1972" s="83" t="s">
        <v>122</v>
      </c>
      <c r="D1972" s="83">
        <f>SUM(D1966:D1971)</f>
        <v>4820000</v>
      </c>
      <c r="E1972" s="100">
        <f>SUM(E1966:E1971)</f>
        <v>248</v>
      </c>
    </row>
    <row r="1973" spans="1:5" x14ac:dyDescent="0.25">
      <c r="A1973" s="16"/>
      <c r="B1973" s="16"/>
      <c r="C1973" s="16"/>
      <c r="D1973" s="16"/>
      <c r="E1973" s="16"/>
    </row>
    <row r="1974" spans="1:5" x14ac:dyDescent="0.25">
      <c r="A1974" s="279" t="s">
        <v>1178</v>
      </c>
      <c r="B1974" s="279"/>
      <c r="C1974" s="279"/>
      <c r="D1974" s="279"/>
      <c r="E1974" s="279"/>
    </row>
    <row r="1975" spans="1:5" x14ac:dyDescent="0.25">
      <c r="A1975" s="72" t="s">
        <v>92</v>
      </c>
      <c r="B1975" s="72" t="s">
        <v>93</v>
      </c>
      <c r="C1975" s="72" t="s">
        <v>227</v>
      </c>
      <c r="D1975" s="72" t="s">
        <v>228</v>
      </c>
      <c r="E1975" s="114" t="s">
        <v>229</v>
      </c>
    </row>
    <row r="1976" spans="1:5" x14ac:dyDescent="0.25">
      <c r="A1976" s="74" t="s">
        <v>1012</v>
      </c>
      <c r="B1976" s="75">
        <f>+INSUMOS!B179</f>
        <v>990000</v>
      </c>
      <c r="C1976" s="103">
        <v>1</v>
      </c>
      <c r="D1976" s="75">
        <f t="shared" ref="D1976:D1981" si="56">C1976*B1976</f>
        <v>990000</v>
      </c>
      <c r="E1976" s="102">
        <f>+INSUMOS!E179</f>
        <v>50</v>
      </c>
    </row>
    <row r="1977" spans="1:5" x14ac:dyDescent="0.25">
      <c r="A1977" s="77" t="s">
        <v>968</v>
      </c>
      <c r="B1977" s="78">
        <f>+INSUMOS!B224</f>
        <v>280000</v>
      </c>
      <c r="C1977" s="98">
        <v>1</v>
      </c>
      <c r="D1977" s="75">
        <f t="shared" si="56"/>
        <v>280000</v>
      </c>
      <c r="E1977" s="97">
        <f>+INSUMOS!E224</f>
        <v>10</v>
      </c>
    </row>
    <row r="1978" spans="1:5" x14ac:dyDescent="0.25">
      <c r="A1978" s="77" t="s">
        <v>827</v>
      </c>
      <c r="B1978" s="78">
        <f>+INSUMOS!B369</f>
        <v>650000</v>
      </c>
      <c r="C1978" s="98">
        <v>1</v>
      </c>
      <c r="D1978" s="75">
        <f t="shared" si="56"/>
        <v>650000</v>
      </c>
      <c r="E1978" s="97"/>
    </row>
    <row r="1979" spans="1:5" x14ac:dyDescent="0.25">
      <c r="A1979" s="77" t="s">
        <v>828</v>
      </c>
      <c r="B1979" s="78">
        <f>+INSUMOS!B369</f>
        <v>650000</v>
      </c>
      <c r="C1979" s="98">
        <v>1</v>
      </c>
      <c r="D1979" s="75">
        <f t="shared" si="56"/>
        <v>650000</v>
      </c>
      <c r="E1979" s="105" t="s">
        <v>232</v>
      </c>
    </row>
    <row r="1980" spans="1:5" x14ac:dyDescent="0.25">
      <c r="A1980" s="77" t="s">
        <v>829</v>
      </c>
      <c r="B1980" s="78">
        <f>+INSUMOS!B389</f>
        <v>100000</v>
      </c>
      <c r="C1980" s="98">
        <v>1</v>
      </c>
      <c r="D1980" s="75">
        <f t="shared" si="56"/>
        <v>100000</v>
      </c>
      <c r="E1980" s="105"/>
    </row>
    <row r="1981" spans="1:5" x14ac:dyDescent="0.25">
      <c r="A1981" s="77" t="s">
        <v>830</v>
      </c>
      <c r="B1981" s="78">
        <f>+INSUMOS!B343</f>
        <v>200000</v>
      </c>
      <c r="C1981" s="98">
        <v>1</v>
      </c>
      <c r="D1981" s="75">
        <f t="shared" si="56"/>
        <v>200000</v>
      </c>
      <c r="E1981" s="105"/>
    </row>
    <row r="1982" spans="1:5" x14ac:dyDescent="0.25">
      <c r="A1982" s="82"/>
      <c r="B1982" s="83"/>
      <c r="C1982" s="83" t="s">
        <v>122</v>
      </c>
      <c r="D1982" s="83">
        <f>SUM(D1976:D1981)</f>
        <v>2870000</v>
      </c>
      <c r="E1982" s="100">
        <f>SUM(E1976:E1981)</f>
        <v>60</v>
      </c>
    </row>
    <row r="1984" spans="1:5" x14ac:dyDescent="0.25">
      <c r="A1984" s="279" t="s">
        <v>1179</v>
      </c>
      <c r="B1984" s="279"/>
      <c r="C1984" s="279"/>
      <c r="D1984" s="279"/>
      <c r="E1984" s="279"/>
    </row>
    <row r="1985" spans="1:5" x14ac:dyDescent="0.25">
      <c r="A1985" s="72" t="s">
        <v>92</v>
      </c>
      <c r="B1985" s="72" t="s">
        <v>93</v>
      </c>
      <c r="C1985" s="72" t="s">
        <v>227</v>
      </c>
      <c r="D1985" s="72" t="s">
        <v>228</v>
      </c>
      <c r="E1985" s="114" t="s">
        <v>229</v>
      </c>
    </row>
    <row r="1986" spans="1:5" x14ac:dyDescent="0.25">
      <c r="A1986" s="74" t="s">
        <v>989</v>
      </c>
      <c r="B1986" s="75">
        <f>+INSUMOS!B178</f>
        <v>708333.33333333337</v>
      </c>
      <c r="C1986" s="103">
        <v>1</v>
      </c>
      <c r="D1986" s="75">
        <f t="shared" ref="D1986:D1991" si="57">C1986*B1986</f>
        <v>708333.33333333337</v>
      </c>
      <c r="E1986" s="102">
        <f>+INSUMOS!E178</f>
        <v>35</v>
      </c>
    </row>
    <row r="1987" spans="1:5" x14ac:dyDescent="0.25">
      <c r="A1987" s="77" t="s">
        <v>921</v>
      </c>
      <c r="B1987" s="78">
        <f>+INSUMOS!B208</f>
        <v>260000</v>
      </c>
      <c r="C1987" s="98">
        <v>1</v>
      </c>
      <c r="D1987" s="75">
        <f t="shared" si="57"/>
        <v>260000</v>
      </c>
      <c r="E1987" s="97">
        <f>+INSUMOS!E222</f>
        <v>6</v>
      </c>
    </row>
    <row r="1988" spans="1:5" x14ac:dyDescent="0.25">
      <c r="A1988" s="77" t="s">
        <v>1180</v>
      </c>
      <c r="B1988" s="78">
        <f>+INSUMOS!B402</f>
        <v>90000</v>
      </c>
      <c r="C1988" s="98">
        <v>1</v>
      </c>
      <c r="D1988" s="75">
        <f t="shared" si="57"/>
        <v>90000</v>
      </c>
      <c r="E1988" s="97"/>
    </row>
    <row r="1989" spans="1:5" x14ac:dyDescent="0.25">
      <c r="A1989" s="77" t="s">
        <v>798</v>
      </c>
      <c r="B1989" s="78">
        <f>+INSUMOS!B368</f>
        <v>550000</v>
      </c>
      <c r="C1989" s="98">
        <v>1</v>
      </c>
      <c r="D1989" s="75">
        <f t="shared" si="57"/>
        <v>550000</v>
      </c>
      <c r="E1989" s="105" t="s">
        <v>232</v>
      </c>
    </row>
    <row r="1990" spans="1:5" x14ac:dyDescent="0.25">
      <c r="A1990" s="77" t="s">
        <v>799</v>
      </c>
      <c r="B1990" s="78">
        <f>+INSUMOS!B388</f>
        <v>50000</v>
      </c>
      <c r="C1990" s="98">
        <v>1</v>
      </c>
      <c r="D1990" s="75">
        <f t="shared" si="57"/>
        <v>50000</v>
      </c>
      <c r="E1990" s="105"/>
    </row>
    <row r="1991" spans="1:5" x14ac:dyDescent="0.25">
      <c r="A1991" s="77" t="s">
        <v>800</v>
      </c>
      <c r="B1991" s="78">
        <f>+INSUMOS!B342</f>
        <v>160000</v>
      </c>
      <c r="C1991" s="98">
        <v>1</v>
      </c>
      <c r="D1991" s="75">
        <f t="shared" si="57"/>
        <v>160000</v>
      </c>
      <c r="E1991" s="105"/>
    </row>
    <row r="1992" spans="1:5" x14ac:dyDescent="0.25">
      <c r="A1992" s="82"/>
      <c r="B1992" s="83"/>
      <c r="C1992" s="83" t="s">
        <v>122</v>
      </c>
      <c r="D1992" s="83">
        <f>SUM(D1986:D1991)</f>
        <v>1818333.3333333335</v>
      </c>
      <c r="E1992" s="100">
        <f>SUM(E1986:E1991)</f>
        <v>41</v>
      </c>
    </row>
    <row r="1994" spans="1:5" x14ac:dyDescent="0.25">
      <c r="A1994" s="279" t="s">
        <v>1181</v>
      </c>
      <c r="B1994" s="279"/>
      <c r="C1994" s="279"/>
      <c r="D1994" s="279"/>
      <c r="E1994" s="279"/>
    </row>
    <row r="1995" spans="1:5" x14ac:dyDescent="0.25">
      <c r="A1995" s="72" t="s">
        <v>92</v>
      </c>
      <c r="B1995" s="72" t="s">
        <v>226</v>
      </c>
      <c r="C1995" s="72" t="s">
        <v>227</v>
      </c>
      <c r="D1995" s="72" t="s">
        <v>228</v>
      </c>
      <c r="E1995" s="73" t="s">
        <v>229</v>
      </c>
    </row>
    <row r="1996" spans="1:5" x14ac:dyDescent="0.25">
      <c r="A1996" s="74" t="s">
        <v>933</v>
      </c>
      <c r="B1996" s="75">
        <f>+INSUMOS!B150</f>
        <v>180000</v>
      </c>
      <c r="C1996" s="103">
        <v>1</v>
      </c>
      <c r="D1996" s="75">
        <f>C1996*B1996</f>
        <v>180000</v>
      </c>
      <c r="E1996" s="102">
        <f>+INSUMOS!E150</f>
        <v>5.5</v>
      </c>
    </row>
    <row r="1997" spans="1:5" x14ac:dyDescent="0.25">
      <c r="A1997" s="77" t="s">
        <v>1182</v>
      </c>
      <c r="B1997" s="78">
        <f>+INSUMOS!B208</f>
        <v>260000</v>
      </c>
      <c r="C1997" s="98">
        <v>1</v>
      </c>
      <c r="D1997" s="75">
        <f>C1997*B1997</f>
        <v>260000</v>
      </c>
      <c r="E1997" s="97">
        <f>+INSUMOS!E208</f>
        <v>5</v>
      </c>
    </row>
    <row r="1998" spans="1:5" x14ac:dyDescent="0.25">
      <c r="A1998" s="77" t="s">
        <v>721</v>
      </c>
      <c r="B1998" s="78">
        <f>+INSUMOS!B351</f>
        <v>200000</v>
      </c>
      <c r="C1998" s="98">
        <v>1</v>
      </c>
      <c r="D1998" s="75">
        <f>C1998*B1998</f>
        <v>200000</v>
      </c>
      <c r="E1998" s="105"/>
    </row>
    <row r="1999" spans="1:5" x14ac:dyDescent="0.25">
      <c r="A1999" s="77" t="s">
        <v>722</v>
      </c>
      <c r="B1999" s="78">
        <f>+INSUMOS!B314</f>
        <v>60000</v>
      </c>
      <c r="C1999" s="98">
        <v>1</v>
      </c>
      <c r="D1999" s="75">
        <f>C1999*B1999</f>
        <v>60000</v>
      </c>
      <c r="E1999" s="105"/>
    </row>
    <row r="2000" spans="1:5" x14ac:dyDescent="0.25">
      <c r="A2000" s="82"/>
      <c r="B2000" s="83"/>
      <c r="C2000" s="83" t="s">
        <v>122</v>
      </c>
      <c r="D2000" s="83">
        <f>SUM(D1996:D1999)</f>
        <v>700000</v>
      </c>
      <c r="E2000" s="100">
        <f>SUM(E1996:E1999)</f>
        <v>10.5</v>
      </c>
    </row>
    <row r="2002" spans="1:5" x14ac:dyDescent="0.25">
      <c r="A2002" s="279" t="s">
        <v>1183</v>
      </c>
      <c r="B2002" s="279"/>
      <c r="C2002" s="279"/>
      <c r="D2002" s="279"/>
      <c r="E2002" s="279"/>
    </row>
    <row r="2003" spans="1:5" x14ac:dyDescent="0.25">
      <c r="A2003" s="72" t="s">
        <v>92</v>
      </c>
      <c r="B2003" s="72" t="s">
        <v>226</v>
      </c>
      <c r="C2003" s="72" t="s">
        <v>227</v>
      </c>
      <c r="D2003" s="72" t="s">
        <v>228</v>
      </c>
      <c r="E2003" s="73" t="s">
        <v>229</v>
      </c>
    </row>
    <row r="2004" spans="1:5" x14ac:dyDescent="0.25">
      <c r="A2004" s="74" t="s">
        <v>1128</v>
      </c>
      <c r="B2004" s="75">
        <f>+INSUMOS!B164</f>
        <v>251999.99999999997</v>
      </c>
      <c r="C2004" s="103">
        <v>1</v>
      </c>
      <c r="D2004" s="75">
        <f>C2004*B2004</f>
        <v>251999.99999999997</v>
      </c>
      <c r="E2004" s="102">
        <f>+INSUMOS!E164</f>
        <v>5.5</v>
      </c>
    </row>
    <row r="2005" spans="1:5" x14ac:dyDescent="0.25">
      <c r="A2005" s="77" t="s">
        <v>823</v>
      </c>
      <c r="B2005" s="78">
        <f>+INSUMOS!B215</f>
        <v>280000</v>
      </c>
      <c r="C2005" s="98">
        <v>1</v>
      </c>
      <c r="D2005" s="75">
        <f>C2005*B2005</f>
        <v>280000</v>
      </c>
      <c r="E2005" s="97">
        <f>+INSUMOS!E215</f>
        <v>5</v>
      </c>
    </row>
    <row r="2006" spans="1:5" x14ac:dyDescent="0.25">
      <c r="A2006" s="77" t="s">
        <v>721</v>
      </c>
      <c r="B2006" s="78">
        <f>+INSUMOS!B351</f>
        <v>200000</v>
      </c>
      <c r="C2006" s="98">
        <v>1</v>
      </c>
      <c r="D2006" s="75">
        <f>C2006*B2006</f>
        <v>200000</v>
      </c>
      <c r="E2006" s="105"/>
    </row>
    <row r="2007" spans="1:5" x14ac:dyDescent="0.25">
      <c r="A2007" s="77" t="s">
        <v>722</v>
      </c>
      <c r="B2007" s="78">
        <f>+INSUMOS!B314</f>
        <v>60000</v>
      </c>
      <c r="C2007" s="98">
        <v>1</v>
      </c>
      <c r="D2007" s="75">
        <f>C2007*B2007</f>
        <v>60000</v>
      </c>
      <c r="E2007" s="105"/>
    </row>
    <row r="2008" spans="1:5" x14ac:dyDescent="0.25">
      <c r="A2008" s="82"/>
      <c r="B2008" s="83"/>
      <c r="C2008" s="83" t="s">
        <v>122</v>
      </c>
      <c r="D2008" s="83">
        <f>SUM(D2004:D2007)</f>
        <v>792000</v>
      </c>
      <c r="E2008" s="100">
        <f>SUM(E2004:E2007)</f>
        <v>10.5</v>
      </c>
    </row>
    <row r="2010" spans="1:5" x14ac:dyDescent="0.25">
      <c r="A2010" s="279" t="s">
        <v>1184</v>
      </c>
      <c r="B2010" s="279"/>
      <c r="C2010" s="279"/>
      <c r="D2010" s="279"/>
      <c r="E2010" s="279"/>
    </row>
    <row r="2011" spans="1:5" x14ac:dyDescent="0.25">
      <c r="A2011" s="72" t="s">
        <v>92</v>
      </c>
      <c r="B2011" s="72" t="s">
        <v>226</v>
      </c>
      <c r="C2011" s="72" t="s">
        <v>227</v>
      </c>
      <c r="D2011" s="72" t="s">
        <v>228</v>
      </c>
      <c r="E2011" s="73" t="s">
        <v>229</v>
      </c>
    </row>
    <row r="2012" spans="1:5" x14ac:dyDescent="0.25">
      <c r="A2012" s="74" t="s">
        <v>933</v>
      </c>
      <c r="B2012" s="75">
        <f>+INSUMOS!B150</f>
        <v>180000</v>
      </c>
      <c r="C2012" s="103">
        <v>1</v>
      </c>
      <c r="D2012" s="75">
        <f>C2012*B2012</f>
        <v>180000</v>
      </c>
      <c r="E2012" s="102">
        <f>+INSUMOS!E150</f>
        <v>5.5</v>
      </c>
    </row>
    <row r="2013" spans="1:5" x14ac:dyDescent="0.25">
      <c r="A2013" s="77" t="s">
        <v>1185</v>
      </c>
      <c r="B2013" s="78">
        <f>+INSUMOS!B207</f>
        <v>240000</v>
      </c>
      <c r="C2013" s="98">
        <v>1</v>
      </c>
      <c r="D2013" s="75">
        <f>C2013*B2013</f>
        <v>240000</v>
      </c>
      <c r="E2013" s="97">
        <f>+INSUMOS!E207</f>
        <v>4</v>
      </c>
    </row>
    <row r="2014" spans="1:5" x14ac:dyDescent="0.25">
      <c r="A2014" s="77" t="s">
        <v>721</v>
      </c>
      <c r="B2014" s="78">
        <f>+INSUMOS!B351</f>
        <v>200000</v>
      </c>
      <c r="C2014" s="98">
        <v>1</v>
      </c>
      <c r="D2014" s="75">
        <f>C2014*B2014</f>
        <v>200000</v>
      </c>
      <c r="E2014" s="105"/>
    </row>
    <row r="2015" spans="1:5" x14ac:dyDescent="0.25">
      <c r="A2015" s="77" t="s">
        <v>722</v>
      </c>
      <c r="B2015" s="78">
        <f>+INSUMOS!B314</f>
        <v>60000</v>
      </c>
      <c r="C2015" s="98">
        <v>1</v>
      </c>
      <c r="D2015" s="75">
        <f>C2015*B2015</f>
        <v>60000</v>
      </c>
      <c r="E2015" s="105"/>
    </row>
    <row r="2016" spans="1:5" x14ac:dyDescent="0.25">
      <c r="A2016" s="82"/>
      <c r="B2016" s="83"/>
      <c r="C2016" s="83" t="s">
        <v>122</v>
      </c>
      <c r="D2016" s="83">
        <f>SUM(D2012:D2015)</f>
        <v>680000</v>
      </c>
      <c r="E2016" s="100">
        <f>SUM(E2012:E2015)</f>
        <v>9.5</v>
      </c>
    </row>
    <row r="2018" spans="1:5" x14ac:dyDescent="0.25">
      <c r="A2018" s="279" t="s">
        <v>1186</v>
      </c>
      <c r="B2018" s="279"/>
      <c r="C2018" s="279"/>
      <c r="D2018" s="279"/>
      <c r="E2018" s="279"/>
    </row>
    <row r="2019" spans="1:5" x14ac:dyDescent="0.25">
      <c r="A2019" s="72" t="s">
        <v>92</v>
      </c>
      <c r="B2019" s="72" t="s">
        <v>226</v>
      </c>
      <c r="C2019" s="72" t="s">
        <v>227</v>
      </c>
      <c r="D2019" s="72" t="s">
        <v>228</v>
      </c>
      <c r="E2019" s="73" t="s">
        <v>229</v>
      </c>
    </row>
    <row r="2020" spans="1:5" x14ac:dyDescent="0.25">
      <c r="A2020" s="74" t="s">
        <v>865</v>
      </c>
      <c r="B2020" s="75">
        <f>+INSUMOS!B152</f>
        <v>230000</v>
      </c>
      <c r="C2020" s="103">
        <v>1</v>
      </c>
      <c r="D2020" s="75">
        <f>C2020*B2020</f>
        <v>230000</v>
      </c>
      <c r="E2020" s="102">
        <f>+INSUMOS!E152</f>
        <v>11.3</v>
      </c>
    </row>
    <row r="2021" spans="1:5" x14ac:dyDescent="0.25">
      <c r="A2021" s="77" t="s">
        <v>1187</v>
      </c>
      <c r="B2021" s="78">
        <f>+INSUMOS!B208</f>
        <v>260000</v>
      </c>
      <c r="C2021" s="98">
        <v>1</v>
      </c>
      <c r="D2021" s="75">
        <f>C2021*B2021</f>
        <v>260000</v>
      </c>
      <c r="E2021" s="97">
        <f>+INSUMOS!E208</f>
        <v>5</v>
      </c>
    </row>
    <row r="2022" spans="1:5" x14ac:dyDescent="0.25">
      <c r="A2022" s="77" t="s">
        <v>731</v>
      </c>
      <c r="B2022" s="78">
        <f>+INSUMOS!B353</f>
        <v>250000</v>
      </c>
      <c r="C2022" s="98">
        <v>1</v>
      </c>
      <c r="D2022" s="75">
        <f>C2022*B2022</f>
        <v>250000</v>
      </c>
      <c r="E2022" s="105" t="s">
        <v>232</v>
      </c>
    </row>
    <row r="2023" spans="1:5" x14ac:dyDescent="0.25">
      <c r="A2023" s="77" t="s">
        <v>732</v>
      </c>
      <c r="B2023" s="78">
        <f>+INSUMOS!B316</f>
        <v>80000</v>
      </c>
      <c r="C2023" s="98">
        <v>1</v>
      </c>
      <c r="D2023" s="75">
        <f>C2023*B2023</f>
        <v>80000</v>
      </c>
      <c r="E2023" s="105"/>
    </row>
    <row r="2024" spans="1:5" x14ac:dyDescent="0.25">
      <c r="A2024" s="82"/>
      <c r="B2024" s="83"/>
      <c r="C2024" s="113" t="s">
        <v>122</v>
      </c>
      <c r="D2024" s="83">
        <f>SUM(D2020:D2023)</f>
        <v>820000</v>
      </c>
      <c r="E2024" s="100">
        <f>SUM(E2020:E2023)</f>
        <v>16.3</v>
      </c>
    </row>
    <row r="2026" spans="1:5" x14ac:dyDescent="0.25">
      <c r="A2026" s="279" t="s">
        <v>1188</v>
      </c>
      <c r="B2026" s="279"/>
      <c r="C2026" s="279"/>
      <c r="D2026" s="279"/>
      <c r="E2026" s="279"/>
    </row>
    <row r="2027" spans="1:5" x14ac:dyDescent="0.25">
      <c r="A2027" s="72" t="s">
        <v>92</v>
      </c>
      <c r="B2027" s="72" t="s">
        <v>226</v>
      </c>
      <c r="C2027" s="72" t="s">
        <v>227</v>
      </c>
      <c r="D2027" s="72" t="s">
        <v>228</v>
      </c>
      <c r="E2027" s="73" t="s">
        <v>229</v>
      </c>
    </row>
    <row r="2028" spans="1:5" x14ac:dyDescent="0.25">
      <c r="A2028" s="74" t="s">
        <v>1189</v>
      </c>
      <c r="B2028" s="75">
        <f>+INSUMOS!B189</f>
        <v>230000</v>
      </c>
      <c r="C2028" s="103">
        <v>1</v>
      </c>
      <c r="D2028" s="75">
        <f>C2028*B2028</f>
        <v>230000</v>
      </c>
      <c r="E2028" s="102">
        <f>+INSUMOS!E189</f>
        <v>6.2</v>
      </c>
    </row>
    <row r="2029" spans="1:5" x14ac:dyDescent="0.25">
      <c r="A2029" s="77" t="s">
        <v>658</v>
      </c>
      <c r="B2029" s="78">
        <f>+INSUMOS!B5</f>
        <v>154000</v>
      </c>
      <c r="C2029" s="98">
        <v>0.15</v>
      </c>
      <c r="D2029" s="75">
        <f>C2029*B2029</f>
        <v>23100</v>
      </c>
      <c r="E2029" s="97">
        <f>+C2029*INSUMOS!E5</f>
        <v>2.3865922265492139</v>
      </c>
    </row>
    <row r="2030" spans="1:5" x14ac:dyDescent="0.25">
      <c r="A2030" s="77" t="s">
        <v>659</v>
      </c>
      <c r="B2030" s="78">
        <f>+INSUMOS!B297</f>
        <v>200000</v>
      </c>
      <c r="C2030" s="98">
        <v>1</v>
      </c>
      <c r="D2030" s="75">
        <f>C2030*B2030</f>
        <v>200000</v>
      </c>
      <c r="E2030" s="105" t="s">
        <v>232</v>
      </c>
    </row>
    <row r="2031" spans="1:5" x14ac:dyDescent="0.25">
      <c r="A2031" s="77" t="s">
        <v>1190</v>
      </c>
      <c r="B2031" s="78">
        <f>+INSUMOS!B413</f>
        <v>240000</v>
      </c>
      <c r="C2031" s="98">
        <v>1</v>
      </c>
      <c r="D2031" s="75">
        <f>C2031*B2031</f>
        <v>240000</v>
      </c>
      <c r="E2031" s="105"/>
    </row>
    <row r="2032" spans="1:5" x14ac:dyDescent="0.25">
      <c r="A2032" s="77" t="s">
        <v>1191</v>
      </c>
      <c r="B2032" s="78">
        <f>+INSUMOS!B325</f>
        <v>50000</v>
      </c>
      <c r="C2032" s="98">
        <v>1</v>
      </c>
      <c r="D2032" s="75">
        <f>C2032*B2032</f>
        <v>50000</v>
      </c>
      <c r="E2032" s="105"/>
    </row>
    <row r="2033" spans="1:5" x14ac:dyDescent="0.25">
      <c r="A2033" s="82"/>
      <c r="B2033" s="83"/>
      <c r="C2033" s="83" t="s">
        <v>122</v>
      </c>
      <c r="D2033" s="83">
        <f>SUM(D2028:D2032)</f>
        <v>743100</v>
      </c>
      <c r="E2033" s="100">
        <f>SUM(E2028:E2032)</f>
        <v>8.5865922265492145</v>
      </c>
    </row>
    <row r="2035" spans="1:5" x14ac:dyDescent="0.25">
      <c r="A2035" s="279" t="s">
        <v>1192</v>
      </c>
      <c r="B2035" s="279"/>
      <c r="C2035" s="279"/>
      <c r="D2035" s="279"/>
      <c r="E2035" s="279"/>
    </row>
    <row r="2036" spans="1:5" x14ac:dyDescent="0.25">
      <c r="A2036" s="72" t="s">
        <v>92</v>
      </c>
      <c r="B2036" s="72" t="s">
        <v>93</v>
      </c>
      <c r="C2036" s="72" t="s">
        <v>227</v>
      </c>
      <c r="D2036" s="72" t="s">
        <v>228</v>
      </c>
      <c r="E2036" s="114" t="s">
        <v>229</v>
      </c>
    </row>
    <row r="2037" spans="1:5" x14ac:dyDescent="0.25">
      <c r="A2037" s="74" t="s">
        <v>780</v>
      </c>
      <c r="B2037" s="75">
        <f>+INSUMOS!B192</f>
        <v>420000</v>
      </c>
      <c r="C2037" s="103">
        <v>1</v>
      </c>
      <c r="D2037" s="75">
        <f>C2037*B2037</f>
        <v>420000</v>
      </c>
      <c r="E2037" s="102">
        <f>+INSUMOS!E192</f>
        <v>62</v>
      </c>
    </row>
    <row r="2038" spans="1:5" x14ac:dyDescent="0.25">
      <c r="A2038" s="77" t="s">
        <v>1193</v>
      </c>
      <c r="B2038" s="78">
        <f>+INSUMOS!B233</f>
        <v>180000</v>
      </c>
      <c r="C2038" s="98">
        <v>1</v>
      </c>
      <c r="D2038" s="75">
        <f>C2038*B2038</f>
        <v>180000</v>
      </c>
      <c r="E2038" s="97">
        <f>+INSUMOS!E233</f>
        <v>5</v>
      </c>
    </row>
    <row r="2039" spans="1:5" x14ac:dyDescent="0.25">
      <c r="A2039" s="77" t="s">
        <v>782</v>
      </c>
      <c r="B2039" s="78">
        <f>+INSUMOS!B416</f>
        <v>476000</v>
      </c>
      <c r="C2039" s="98">
        <v>1</v>
      </c>
      <c r="D2039" s="75">
        <f>C2039*B2039</f>
        <v>476000</v>
      </c>
      <c r="E2039" s="112"/>
    </row>
    <row r="2040" spans="1:5" x14ac:dyDescent="0.25">
      <c r="A2040" s="77" t="s">
        <v>783</v>
      </c>
      <c r="B2040" s="78">
        <f>+INSUMOS!B380</f>
        <v>180000</v>
      </c>
      <c r="C2040" s="98">
        <v>1</v>
      </c>
      <c r="D2040" s="75">
        <f>C2040*B2040</f>
        <v>180000</v>
      </c>
      <c r="E2040" s="105"/>
    </row>
    <row r="2041" spans="1:5" x14ac:dyDescent="0.25">
      <c r="A2041" s="77" t="s">
        <v>784</v>
      </c>
      <c r="B2041" s="78">
        <f>+INSUMOS!B328</f>
        <v>100000</v>
      </c>
      <c r="C2041" s="98">
        <v>1</v>
      </c>
      <c r="D2041" s="75">
        <f>C2041*B2041</f>
        <v>100000</v>
      </c>
      <c r="E2041" s="105"/>
    </row>
    <row r="2042" spans="1:5" x14ac:dyDescent="0.25">
      <c r="A2042" s="82"/>
      <c r="B2042" s="83"/>
      <c r="C2042" s="83" t="s">
        <v>122</v>
      </c>
      <c r="D2042" s="83">
        <f>SUM(D2037:D2041)</f>
        <v>1356000</v>
      </c>
      <c r="E2042" s="100">
        <f>SUM(E2037:E2041)</f>
        <v>67</v>
      </c>
    </row>
    <row r="2044" spans="1:5" x14ac:dyDescent="0.25">
      <c r="A2044" s="279" t="s">
        <v>1194</v>
      </c>
      <c r="B2044" s="279"/>
      <c r="C2044" s="279"/>
      <c r="D2044" s="279"/>
      <c r="E2044" s="279"/>
    </row>
    <row r="2045" spans="1:5" x14ac:dyDescent="0.25">
      <c r="A2045" s="72" t="s">
        <v>92</v>
      </c>
      <c r="B2045" s="72" t="s">
        <v>93</v>
      </c>
      <c r="C2045" s="72" t="s">
        <v>227</v>
      </c>
      <c r="D2045" s="72" t="s">
        <v>228</v>
      </c>
      <c r="E2045" s="114" t="s">
        <v>229</v>
      </c>
    </row>
    <row r="2046" spans="1:5" x14ac:dyDescent="0.25">
      <c r="A2046" s="74" t="s">
        <v>1165</v>
      </c>
      <c r="B2046" s="75">
        <f>+INSUMOS!B176</f>
        <v>300000</v>
      </c>
      <c r="C2046" s="103">
        <v>1</v>
      </c>
      <c r="D2046" s="75">
        <f t="shared" ref="D2046:D2051" si="58">C2046*B2046</f>
        <v>300000</v>
      </c>
      <c r="E2046" s="102">
        <f>+INSUMOS!E176</f>
        <v>22</v>
      </c>
    </row>
    <row r="2047" spans="1:5" x14ac:dyDescent="0.25">
      <c r="A2047" s="77" t="s">
        <v>921</v>
      </c>
      <c r="B2047" s="78">
        <f>+INSUMOS!B222</f>
        <v>180000</v>
      </c>
      <c r="C2047" s="98">
        <v>1</v>
      </c>
      <c r="D2047" s="75">
        <f t="shared" si="58"/>
        <v>180000</v>
      </c>
      <c r="E2047" s="97">
        <f>+INSUMOS!E222</f>
        <v>6</v>
      </c>
    </row>
    <row r="2048" spans="1:5" x14ac:dyDescent="0.25">
      <c r="A2048" s="77" t="s">
        <v>1180</v>
      </c>
      <c r="B2048" s="78">
        <f>+INSUMOS!B404</f>
        <v>90000</v>
      </c>
      <c r="C2048" s="98">
        <v>1</v>
      </c>
      <c r="D2048" s="75">
        <f t="shared" si="58"/>
        <v>90000</v>
      </c>
      <c r="E2048" s="97"/>
    </row>
    <row r="2049" spans="1:5" x14ac:dyDescent="0.25">
      <c r="A2049" s="77" t="s">
        <v>1166</v>
      </c>
      <c r="B2049" s="78">
        <f>+INSUMOS!B366</f>
        <v>500000</v>
      </c>
      <c r="C2049" s="98">
        <v>1</v>
      </c>
      <c r="D2049" s="75">
        <f t="shared" si="58"/>
        <v>500000</v>
      </c>
      <c r="E2049" s="105" t="s">
        <v>232</v>
      </c>
    </row>
    <row r="2050" spans="1:5" x14ac:dyDescent="0.25">
      <c r="A2050" s="77" t="s">
        <v>1167</v>
      </c>
      <c r="B2050" s="78">
        <f>+INSUMOS!B386</f>
        <v>50000</v>
      </c>
      <c r="C2050" s="98">
        <v>1</v>
      </c>
      <c r="D2050" s="75">
        <f t="shared" si="58"/>
        <v>50000</v>
      </c>
      <c r="E2050" s="105"/>
    </row>
    <row r="2051" spans="1:5" x14ac:dyDescent="0.25">
      <c r="A2051" s="77" t="s">
        <v>1168</v>
      </c>
      <c r="B2051" s="78">
        <f>+INSUMOS!B340</f>
        <v>120000</v>
      </c>
      <c r="C2051" s="98">
        <v>1</v>
      </c>
      <c r="D2051" s="75">
        <f t="shared" si="58"/>
        <v>120000</v>
      </c>
      <c r="E2051" s="105"/>
    </row>
    <row r="2052" spans="1:5" x14ac:dyDescent="0.25">
      <c r="A2052" s="82"/>
      <c r="B2052" s="83"/>
      <c r="C2052" s="83" t="s">
        <v>122</v>
      </c>
      <c r="D2052" s="83">
        <f>SUM(D2046:D2051)</f>
        <v>1240000</v>
      </c>
      <c r="E2052" s="100">
        <f>SUM(E2046:E2051)</f>
        <v>28</v>
      </c>
    </row>
    <row r="2054" spans="1:5" x14ac:dyDescent="0.25">
      <c r="A2054" s="279" t="s">
        <v>1195</v>
      </c>
      <c r="B2054" s="279"/>
      <c r="C2054" s="279"/>
      <c r="D2054" s="279"/>
      <c r="E2054" s="279"/>
    </row>
    <row r="2055" spans="1:5" x14ac:dyDescent="0.25">
      <c r="A2055" s="72" t="s">
        <v>92</v>
      </c>
      <c r="B2055" s="72" t="s">
        <v>226</v>
      </c>
      <c r="C2055" s="72" t="s">
        <v>227</v>
      </c>
      <c r="D2055" s="72" t="s">
        <v>228</v>
      </c>
      <c r="E2055" s="73" t="s">
        <v>229</v>
      </c>
    </row>
    <row r="2056" spans="1:5" x14ac:dyDescent="0.25">
      <c r="A2056" s="74" t="s">
        <v>679</v>
      </c>
      <c r="B2056" s="75">
        <f>+INSUMOS!B163</f>
        <v>210000</v>
      </c>
      <c r="C2056" s="103">
        <v>1</v>
      </c>
      <c r="D2056" s="75">
        <f>C2056*B2056</f>
        <v>210000</v>
      </c>
      <c r="E2056" s="102">
        <f>+INSUMOS!E163</f>
        <v>4.8</v>
      </c>
    </row>
    <row r="2057" spans="1:5" x14ac:dyDescent="0.25">
      <c r="A2057" s="77" t="s">
        <v>1196</v>
      </c>
      <c r="B2057" s="78">
        <f>+INSUMOS!B214</f>
        <v>260000</v>
      </c>
      <c r="C2057" s="98">
        <v>1</v>
      </c>
      <c r="D2057" s="75">
        <f>C2057*B2057</f>
        <v>260000</v>
      </c>
      <c r="E2057" s="97">
        <f>+INSUMOS!E214</f>
        <v>4</v>
      </c>
    </row>
    <row r="2058" spans="1:5" x14ac:dyDescent="0.25">
      <c r="A2058" s="77" t="s">
        <v>676</v>
      </c>
      <c r="B2058" s="78">
        <f>+INSUMOS!B350</f>
        <v>150000</v>
      </c>
      <c r="C2058" s="98">
        <v>1</v>
      </c>
      <c r="D2058" s="75">
        <f>C2058*B2058</f>
        <v>150000</v>
      </c>
      <c r="E2058" s="105"/>
    </row>
    <row r="2059" spans="1:5" x14ac:dyDescent="0.25">
      <c r="A2059" s="77" t="s">
        <v>1174</v>
      </c>
      <c r="B2059" s="78">
        <f>+INSUMOS!B397</f>
        <v>75000</v>
      </c>
      <c r="C2059" s="98">
        <v>1</v>
      </c>
      <c r="D2059" s="75">
        <f>C2059*B2059</f>
        <v>75000</v>
      </c>
      <c r="E2059" s="105"/>
    </row>
    <row r="2060" spans="1:5" x14ac:dyDescent="0.25">
      <c r="A2060" s="77" t="s">
        <v>677</v>
      </c>
      <c r="B2060" s="78">
        <f>+INSUMOS!B313</f>
        <v>50000</v>
      </c>
      <c r="C2060" s="98">
        <v>1</v>
      </c>
      <c r="D2060" s="75">
        <f>C2060*B2060</f>
        <v>50000</v>
      </c>
      <c r="E2060" s="105"/>
    </row>
    <row r="2061" spans="1:5" x14ac:dyDescent="0.25">
      <c r="A2061" s="82"/>
      <c r="B2061" s="83"/>
      <c r="C2061" s="83" t="s">
        <v>122</v>
      </c>
      <c r="D2061" s="83">
        <f>SUM(D2056:D2060)</f>
        <v>745000</v>
      </c>
      <c r="E2061" s="100">
        <f>SUM(E2056:E2060)</f>
        <v>8.8000000000000007</v>
      </c>
    </row>
    <row r="2063" spans="1:5" x14ac:dyDescent="0.25">
      <c r="A2063" s="279" t="s">
        <v>1197</v>
      </c>
      <c r="B2063" s="279"/>
      <c r="C2063" s="279"/>
      <c r="D2063" s="279"/>
      <c r="E2063" s="279"/>
    </row>
    <row r="2064" spans="1:5" x14ac:dyDescent="0.25">
      <c r="A2064" s="72" t="s">
        <v>92</v>
      </c>
      <c r="B2064" s="72" t="s">
        <v>226</v>
      </c>
      <c r="C2064" s="72" t="s">
        <v>227</v>
      </c>
      <c r="D2064" s="72" t="s">
        <v>228</v>
      </c>
      <c r="E2064" s="73" t="s">
        <v>229</v>
      </c>
    </row>
    <row r="2065" spans="1:5" x14ac:dyDescent="0.25">
      <c r="A2065" s="74" t="s">
        <v>878</v>
      </c>
      <c r="B2065" s="75">
        <f>+INSUMOS!B165</f>
        <v>287000</v>
      </c>
      <c r="C2065" s="103">
        <v>1</v>
      </c>
      <c r="D2065" s="75">
        <f>C2065*B2065</f>
        <v>287000</v>
      </c>
      <c r="E2065" s="102">
        <f>+INSUMOS!E165</f>
        <v>9.8000000000000007</v>
      </c>
    </row>
    <row r="2066" spans="1:5" x14ac:dyDescent="0.25">
      <c r="A2066" s="77" t="s">
        <v>1198</v>
      </c>
      <c r="B2066" s="78">
        <f>+INSUMOS!B16</f>
        <v>240000</v>
      </c>
      <c r="C2066" s="98">
        <v>0.15</v>
      </c>
      <c r="D2066" s="75">
        <f>C2066*B2066</f>
        <v>36000</v>
      </c>
      <c r="E2066" s="97">
        <f>+C2066*INSUMOS!E16</f>
        <v>2.3865922265492139</v>
      </c>
    </row>
    <row r="2067" spans="1:5" x14ac:dyDescent="0.25">
      <c r="A2067" s="77" t="s">
        <v>659</v>
      </c>
      <c r="B2067" s="78">
        <f>+INSUMOS!B255</f>
        <v>202000</v>
      </c>
      <c r="C2067" s="98">
        <v>1</v>
      </c>
      <c r="D2067" s="75">
        <f>C2067*B2067</f>
        <v>202000</v>
      </c>
      <c r="E2067" s="105" t="s">
        <v>232</v>
      </c>
    </row>
    <row r="2068" spans="1:5" x14ac:dyDescent="0.25">
      <c r="A2068" s="77" t="s">
        <v>726</v>
      </c>
      <c r="B2068" s="78">
        <f>+INSUMOS!B352</f>
        <v>230000</v>
      </c>
      <c r="C2068" s="98">
        <v>1</v>
      </c>
      <c r="D2068" s="75">
        <f>C2068*B2068</f>
        <v>230000</v>
      </c>
      <c r="E2068" s="105"/>
    </row>
    <row r="2069" spans="1:5" x14ac:dyDescent="0.25">
      <c r="A2069" s="77" t="s">
        <v>727</v>
      </c>
      <c r="B2069" s="78">
        <f>+INSUMOS!B315</f>
        <v>70000</v>
      </c>
      <c r="C2069" s="98">
        <v>1</v>
      </c>
      <c r="D2069" s="75">
        <f>C2069*B2069</f>
        <v>70000</v>
      </c>
      <c r="E2069" s="105"/>
    </row>
    <row r="2070" spans="1:5" x14ac:dyDescent="0.25">
      <c r="A2070" s="82"/>
      <c r="B2070" s="83"/>
      <c r="C2070" s="83" t="s">
        <v>122</v>
      </c>
      <c r="D2070" s="83">
        <f>SUM(D2065:D2069)</f>
        <v>825000</v>
      </c>
      <c r="E2070" s="100">
        <f>SUM(E2065:E2069)</f>
        <v>12.186592226549214</v>
      </c>
    </row>
    <row r="2072" spans="1:5" x14ac:dyDescent="0.25">
      <c r="A2072" s="279" t="s">
        <v>1199</v>
      </c>
      <c r="B2072" s="279"/>
      <c r="C2072" s="279"/>
      <c r="D2072" s="279"/>
      <c r="E2072" s="279"/>
    </row>
    <row r="2073" spans="1:5" x14ac:dyDescent="0.25">
      <c r="A2073" s="72" t="s">
        <v>92</v>
      </c>
      <c r="B2073" s="72" t="s">
        <v>93</v>
      </c>
      <c r="C2073" s="72" t="s">
        <v>227</v>
      </c>
      <c r="D2073" s="72" t="s">
        <v>228</v>
      </c>
      <c r="E2073" s="114" t="s">
        <v>229</v>
      </c>
    </row>
    <row r="2074" spans="1:5" x14ac:dyDescent="0.25">
      <c r="A2074" s="74" t="s">
        <v>780</v>
      </c>
      <c r="B2074" s="75">
        <f>+INSUMOS!B192</f>
        <v>420000</v>
      </c>
      <c r="C2074" s="103">
        <v>1</v>
      </c>
      <c r="D2074" s="75">
        <f>C2074*B2074</f>
        <v>420000</v>
      </c>
      <c r="E2074" s="102">
        <f>+INSUMOS!E192</f>
        <v>62</v>
      </c>
    </row>
    <row r="2075" spans="1:5" x14ac:dyDescent="0.25">
      <c r="A2075" s="77" t="s">
        <v>766</v>
      </c>
      <c r="B2075" s="78">
        <f>+INSUMOS!B235</f>
        <v>340000</v>
      </c>
      <c r="C2075" s="98">
        <v>1</v>
      </c>
      <c r="D2075" s="75">
        <f>C2075*B2075</f>
        <v>340000</v>
      </c>
      <c r="E2075" s="97">
        <f>+INSUMOS!E235</f>
        <v>8</v>
      </c>
    </row>
    <row r="2076" spans="1:5" x14ac:dyDescent="0.25">
      <c r="A2076" s="77" t="s">
        <v>782</v>
      </c>
      <c r="B2076" s="78">
        <f>+INSUMOS!B416</f>
        <v>476000</v>
      </c>
      <c r="C2076" s="98">
        <v>1</v>
      </c>
      <c r="D2076" s="75">
        <f>C2076*B2076</f>
        <v>476000</v>
      </c>
      <c r="E2076" s="112"/>
    </row>
    <row r="2077" spans="1:5" x14ac:dyDescent="0.25">
      <c r="A2077" s="77" t="s">
        <v>783</v>
      </c>
      <c r="B2077" s="78">
        <f>+INSUMOS!B380</f>
        <v>180000</v>
      </c>
      <c r="C2077" s="98">
        <v>1</v>
      </c>
      <c r="D2077" s="75">
        <f>C2077*B2077</f>
        <v>180000</v>
      </c>
      <c r="E2077" s="105"/>
    </row>
    <row r="2078" spans="1:5" x14ac:dyDescent="0.25">
      <c r="A2078" s="77" t="s">
        <v>784</v>
      </c>
      <c r="B2078" s="78">
        <f>+INSUMOS!B328</f>
        <v>100000</v>
      </c>
      <c r="C2078" s="98">
        <v>1</v>
      </c>
      <c r="D2078" s="75">
        <f>C2078*B2078</f>
        <v>100000</v>
      </c>
      <c r="E2078" s="105"/>
    </row>
    <row r="2079" spans="1:5" x14ac:dyDescent="0.25">
      <c r="A2079" s="82"/>
      <c r="B2079" s="83"/>
      <c r="C2079" s="83" t="s">
        <v>122</v>
      </c>
      <c r="D2079" s="83">
        <f>SUM(D2074:D2078)</f>
        <v>1516000</v>
      </c>
      <c r="E2079" s="100">
        <f>SUM(E2074:E2078)</f>
        <v>70</v>
      </c>
    </row>
    <row r="2081" spans="1:5" x14ac:dyDescent="0.25">
      <c r="A2081" s="279" t="s">
        <v>1200</v>
      </c>
      <c r="B2081" s="279"/>
      <c r="C2081" s="279"/>
      <c r="D2081" s="279"/>
      <c r="E2081" s="279"/>
    </row>
    <row r="2082" spans="1:5" x14ac:dyDescent="0.25">
      <c r="A2082" s="72" t="s">
        <v>92</v>
      </c>
      <c r="B2082" s="72" t="s">
        <v>226</v>
      </c>
      <c r="C2082" s="72" t="s">
        <v>227</v>
      </c>
      <c r="D2082" s="72" t="s">
        <v>228</v>
      </c>
      <c r="E2082" s="73" t="s">
        <v>229</v>
      </c>
    </row>
    <row r="2083" spans="1:5" x14ac:dyDescent="0.25">
      <c r="A2083" s="74" t="s">
        <v>807</v>
      </c>
      <c r="B2083" s="75">
        <f>INSUMOS!B169</f>
        <v>1430000</v>
      </c>
      <c r="C2083" s="103">
        <v>1</v>
      </c>
      <c r="D2083" s="75">
        <f>C2083*B2083</f>
        <v>1430000</v>
      </c>
      <c r="E2083" s="102">
        <f>INSUMOS!E169</f>
        <v>42</v>
      </c>
    </row>
    <row r="2084" spans="1:5" x14ac:dyDescent="0.25">
      <c r="A2084" s="77" t="s">
        <v>854</v>
      </c>
      <c r="B2084" s="78">
        <f>INSUMOS!B228</f>
        <v>276000</v>
      </c>
      <c r="C2084" s="98">
        <v>1</v>
      </c>
      <c r="D2084" s="75">
        <f>C2084*B2084</f>
        <v>276000</v>
      </c>
      <c r="E2084" s="97">
        <f>INSUMOS!E228</f>
        <v>8</v>
      </c>
    </row>
    <row r="2085" spans="1:5" x14ac:dyDescent="0.25">
      <c r="A2085" s="77" t="s">
        <v>742</v>
      </c>
      <c r="B2085" s="78">
        <f>INSUMOS!B356</f>
        <v>620000</v>
      </c>
      <c r="C2085" s="98">
        <v>1</v>
      </c>
      <c r="D2085" s="75">
        <f>C2085*B2085</f>
        <v>620000</v>
      </c>
      <c r="E2085" s="105" t="s">
        <v>232</v>
      </c>
    </row>
    <row r="2086" spans="1:5" x14ac:dyDescent="0.25">
      <c r="A2086" s="77" t="s">
        <v>743</v>
      </c>
      <c r="B2086" s="78">
        <f>INSUMOS!B375</f>
        <v>330000</v>
      </c>
      <c r="C2086" s="98">
        <v>1</v>
      </c>
      <c r="D2086" s="75">
        <f>C2086*B2086</f>
        <v>330000</v>
      </c>
      <c r="E2086" s="105"/>
    </row>
    <row r="2087" spans="1:5" x14ac:dyDescent="0.25">
      <c r="A2087" s="77" t="s">
        <v>744</v>
      </c>
      <c r="B2087" s="78">
        <f>INSUMOS!B319</f>
        <v>150000</v>
      </c>
      <c r="C2087" s="98">
        <v>1</v>
      </c>
      <c r="D2087" s="75">
        <f>C2087*B2087</f>
        <v>150000</v>
      </c>
      <c r="E2087" s="105"/>
    </row>
    <row r="2088" spans="1:5" x14ac:dyDescent="0.25">
      <c r="A2088" s="82"/>
      <c r="B2088" s="83"/>
      <c r="C2088" s="83" t="s">
        <v>122</v>
      </c>
      <c r="D2088" s="83">
        <f>SUM(D2083:D2087)</f>
        <v>2806000</v>
      </c>
      <c r="E2088" s="100">
        <f>SUM(E2083:E2087)</f>
        <v>50</v>
      </c>
    </row>
    <row r="2090" spans="1:5" x14ac:dyDescent="0.25">
      <c r="A2090" s="279" t="s">
        <v>1201</v>
      </c>
      <c r="B2090" s="279"/>
      <c r="C2090" s="279"/>
      <c r="D2090" s="279"/>
      <c r="E2090" s="279"/>
    </row>
    <row r="2091" spans="1:5" x14ac:dyDescent="0.25">
      <c r="A2091" s="72" t="s">
        <v>92</v>
      </c>
      <c r="B2091" s="72" t="s">
        <v>226</v>
      </c>
      <c r="C2091" s="72" t="s">
        <v>227</v>
      </c>
      <c r="D2091" s="72" t="s">
        <v>228</v>
      </c>
      <c r="E2091" s="73" t="s">
        <v>229</v>
      </c>
    </row>
    <row r="2092" spans="1:5" x14ac:dyDescent="0.25">
      <c r="A2092" s="74" t="s">
        <v>675</v>
      </c>
      <c r="B2092" s="75">
        <f>INSUMOS!B149</f>
        <v>150000</v>
      </c>
      <c r="C2092" s="103">
        <v>1</v>
      </c>
      <c r="D2092" s="75">
        <f>C2092*B2092</f>
        <v>150000</v>
      </c>
      <c r="E2092" s="102">
        <f>INSUMOS!E149</f>
        <v>4.8</v>
      </c>
    </row>
    <row r="2093" spans="1:5" x14ac:dyDescent="0.25">
      <c r="A2093" s="77" t="s">
        <v>1202</v>
      </c>
      <c r="B2093" s="78">
        <f>INSUMOS!B206</f>
        <v>230000</v>
      </c>
      <c r="C2093" s="98">
        <v>1</v>
      </c>
      <c r="D2093" s="75">
        <f>C2093*B2093</f>
        <v>230000</v>
      </c>
      <c r="E2093" s="97">
        <f>0.15*INSUMOS!E2029</f>
        <v>0</v>
      </c>
    </row>
    <row r="2094" spans="1:5" x14ac:dyDescent="0.25">
      <c r="A2094" s="77" t="s">
        <v>676</v>
      </c>
      <c r="B2094" s="78">
        <f>INSUMOS!B350</f>
        <v>150000</v>
      </c>
      <c r="C2094" s="98">
        <v>1</v>
      </c>
      <c r="D2094" s="75">
        <f>C2094*B2094</f>
        <v>150000</v>
      </c>
      <c r="E2094" s="105"/>
    </row>
    <row r="2095" spans="1:5" x14ac:dyDescent="0.25">
      <c r="A2095" s="77" t="s">
        <v>1203</v>
      </c>
      <c r="B2095" s="78">
        <f>INSUMOS!B397</f>
        <v>75000</v>
      </c>
      <c r="C2095" s="98">
        <v>1</v>
      </c>
      <c r="D2095" s="75">
        <f>C2095*B2095</f>
        <v>75000</v>
      </c>
      <c r="E2095" s="105"/>
    </row>
    <row r="2096" spans="1:5" x14ac:dyDescent="0.25">
      <c r="A2096" s="77" t="s">
        <v>677</v>
      </c>
      <c r="B2096" s="78">
        <f>INSUMOS!B303</f>
        <v>50000</v>
      </c>
      <c r="C2096" s="98">
        <v>1</v>
      </c>
      <c r="D2096" s="75">
        <f>C2096*B2096</f>
        <v>50000</v>
      </c>
      <c r="E2096" s="105"/>
    </row>
    <row r="2097" spans="1:5" x14ac:dyDescent="0.25">
      <c r="A2097" s="82"/>
      <c r="B2097" s="83"/>
      <c r="C2097" s="83" t="s">
        <v>122</v>
      </c>
      <c r="D2097" s="83">
        <f>SUM(D2092:D2096)</f>
        <v>655000</v>
      </c>
      <c r="E2097" s="100">
        <f>SUM(E2092:E2096)</f>
        <v>4.8</v>
      </c>
    </row>
    <row r="2099" spans="1:5" x14ac:dyDescent="0.25">
      <c r="A2099" s="279" t="s">
        <v>1204</v>
      </c>
      <c r="B2099" s="279"/>
      <c r="C2099" s="279"/>
      <c r="D2099" s="279"/>
      <c r="E2099" s="279"/>
    </row>
    <row r="2100" spans="1:5" x14ac:dyDescent="0.25">
      <c r="A2100" s="72" t="s">
        <v>92</v>
      </c>
      <c r="B2100" s="72" t="s">
        <v>226</v>
      </c>
      <c r="C2100" s="72" t="s">
        <v>227</v>
      </c>
      <c r="D2100" s="72" t="s">
        <v>228</v>
      </c>
      <c r="E2100" s="73" t="s">
        <v>229</v>
      </c>
    </row>
    <row r="2101" spans="1:5" x14ac:dyDescent="0.25">
      <c r="A2101" s="74" t="s">
        <v>675</v>
      </c>
      <c r="B2101" s="75">
        <f>INSUMOS!B163</f>
        <v>210000</v>
      </c>
      <c r="C2101" s="103">
        <v>1</v>
      </c>
      <c r="D2101" s="75">
        <f>C2101*B2101</f>
        <v>210000</v>
      </c>
      <c r="E2101" s="102">
        <f>INSUMOS!E158</f>
        <v>124</v>
      </c>
    </row>
    <row r="2102" spans="1:5" x14ac:dyDescent="0.25">
      <c r="A2102" s="77" t="s">
        <v>1205</v>
      </c>
      <c r="B2102" s="78">
        <f>INSUMOS!B214</f>
        <v>260000</v>
      </c>
      <c r="C2102" s="98">
        <v>1</v>
      </c>
      <c r="D2102" s="75">
        <f>C2102*B2102</f>
        <v>260000</v>
      </c>
      <c r="E2102" s="97">
        <f>0.15*INSUMOS!E2038</f>
        <v>0</v>
      </c>
    </row>
    <row r="2103" spans="1:5" x14ac:dyDescent="0.25">
      <c r="A2103" s="77" t="s">
        <v>676</v>
      </c>
      <c r="B2103" s="78">
        <f>INSUMOS!B350</f>
        <v>150000</v>
      </c>
      <c r="C2103" s="98">
        <v>1</v>
      </c>
      <c r="D2103" s="75">
        <f>C2103*B2103</f>
        <v>150000</v>
      </c>
      <c r="E2103" s="105"/>
    </row>
    <row r="2104" spans="1:5" x14ac:dyDescent="0.25">
      <c r="A2104" s="77" t="s">
        <v>1203</v>
      </c>
      <c r="B2104" s="78">
        <f>INSUMOS!B397</f>
        <v>75000</v>
      </c>
      <c r="C2104" s="98">
        <v>1</v>
      </c>
      <c r="D2104" s="75">
        <f>C2104*B2104</f>
        <v>75000</v>
      </c>
      <c r="E2104" s="105"/>
    </row>
    <row r="2105" spans="1:5" x14ac:dyDescent="0.25">
      <c r="A2105" s="77" t="s">
        <v>677</v>
      </c>
      <c r="B2105" s="78">
        <f>INSUMOS!B303</f>
        <v>50000</v>
      </c>
      <c r="C2105" s="98">
        <v>1</v>
      </c>
      <c r="D2105" s="75">
        <f>C2105*B2105</f>
        <v>50000</v>
      </c>
      <c r="E2105" s="105"/>
    </row>
    <row r="2106" spans="1:5" x14ac:dyDescent="0.25">
      <c r="A2106" s="82"/>
      <c r="B2106" s="83"/>
      <c r="C2106" s="83" t="s">
        <v>122</v>
      </c>
      <c r="D2106" s="83">
        <f>SUM(D2101:D2105)</f>
        <v>745000</v>
      </c>
      <c r="E2106" s="100">
        <f>SUM(E2101:E2105)</f>
        <v>124</v>
      </c>
    </row>
    <row r="2110" spans="1:5" x14ac:dyDescent="0.25">
      <c r="A2110" s="279" t="s">
        <v>1206</v>
      </c>
      <c r="B2110" s="279"/>
      <c r="C2110" s="279"/>
      <c r="D2110" s="279"/>
      <c r="E2110" s="279"/>
    </row>
    <row r="2111" spans="1:5" x14ac:dyDescent="0.25">
      <c r="A2111" s="72" t="s">
        <v>92</v>
      </c>
      <c r="B2111" s="72" t="s">
        <v>226</v>
      </c>
      <c r="C2111" s="72" t="s">
        <v>227</v>
      </c>
      <c r="D2111" s="72" t="s">
        <v>228</v>
      </c>
      <c r="E2111" s="73" t="s">
        <v>229</v>
      </c>
    </row>
    <row r="2112" spans="1:5" x14ac:dyDescent="0.25">
      <c r="A2112" s="74" t="s">
        <v>1207</v>
      </c>
      <c r="B2112" s="75">
        <f>INSUMOS!B174</f>
        <v>335000</v>
      </c>
      <c r="C2112" s="103">
        <v>1</v>
      </c>
      <c r="D2112" s="75">
        <f>C2112*B2112</f>
        <v>335000</v>
      </c>
      <c r="E2112" s="102">
        <f>INSUMOS!E169</f>
        <v>42</v>
      </c>
    </row>
    <row r="2113" spans="1:5" x14ac:dyDescent="0.25">
      <c r="A2113" s="77" t="s">
        <v>1208</v>
      </c>
      <c r="B2113" s="78">
        <f>INSUMOS!B221</f>
        <v>150000</v>
      </c>
      <c r="C2113" s="98">
        <v>1</v>
      </c>
      <c r="D2113" s="75">
        <f>C2113*B2113</f>
        <v>150000</v>
      </c>
      <c r="E2113" s="97">
        <f>0.15*INSUMOS!E2049</f>
        <v>0</v>
      </c>
    </row>
    <row r="2114" spans="1:5" x14ac:dyDescent="0.25">
      <c r="A2114" s="77" t="s">
        <v>1043</v>
      </c>
      <c r="B2114" s="78">
        <f>INSUMOS!B364</f>
        <v>310000</v>
      </c>
      <c r="C2114" s="98">
        <v>1</v>
      </c>
      <c r="D2114" s="75">
        <f>C2114*B2114</f>
        <v>310000</v>
      </c>
      <c r="E2114" s="105"/>
    </row>
    <row r="2115" spans="1:5" x14ac:dyDescent="0.25">
      <c r="A2115" s="77" t="s">
        <v>1174</v>
      </c>
      <c r="B2115" s="78">
        <f>INSUMOS!B403</f>
        <v>90000</v>
      </c>
      <c r="C2115" s="98">
        <v>1</v>
      </c>
      <c r="D2115" s="75">
        <f>C2115*B2115</f>
        <v>90000</v>
      </c>
      <c r="E2115" s="105"/>
    </row>
    <row r="2116" spans="1:5" x14ac:dyDescent="0.25">
      <c r="A2116" s="77" t="s">
        <v>1045</v>
      </c>
      <c r="B2116" s="78">
        <f>INSUMOS!B338</f>
        <v>80000</v>
      </c>
      <c r="C2116" s="98">
        <v>1</v>
      </c>
      <c r="D2116" s="75">
        <f>C2116*B2116</f>
        <v>80000</v>
      </c>
      <c r="E2116" s="105"/>
    </row>
    <row r="2117" spans="1:5" x14ac:dyDescent="0.25">
      <c r="A2117" s="82"/>
      <c r="B2117" s="83"/>
      <c r="C2117" s="83" t="s">
        <v>122</v>
      </c>
      <c r="D2117" s="83">
        <f>SUM(D2112:D2116)</f>
        <v>965000</v>
      </c>
      <c r="E2117" s="100">
        <f>SUM(E2112:E2116)</f>
        <v>42</v>
      </c>
    </row>
    <row r="2119" spans="1:5" x14ac:dyDescent="0.25">
      <c r="A2119" s="279" t="s">
        <v>1209</v>
      </c>
      <c r="B2119" s="279"/>
      <c r="C2119" s="279"/>
      <c r="D2119" s="279"/>
      <c r="E2119" s="279"/>
    </row>
    <row r="2120" spans="1:5" x14ac:dyDescent="0.25">
      <c r="A2120" s="72" t="s">
        <v>92</v>
      </c>
      <c r="B2120" s="72" t="s">
        <v>93</v>
      </c>
      <c r="C2120" s="72" t="s">
        <v>227</v>
      </c>
      <c r="D2120" s="72" t="s">
        <v>228</v>
      </c>
      <c r="E2120" s="73" t="s">
        <v>229</v>
      </c>
    </row>
    <row r="2121" spans="1:5" x14ac:dyDescent="0.25">
      <c r="A2121" s="74" t="s">
        <v>786</v>
      </c>
      <c r="B2121" s="75">
        <f>+INSUMOS!B170</f>
        <v>1690000</v>
      </c>
      <c r="C2121" s="103">
        <v>1</v>
      </c>
      <c r="D2121" s="75">
        <f t="shared" ref="D2121:D2126" si="59">C2121*B2121</f>
        <v>1690000</v>
      </c>
      <c r="E2121" s="102">
        <f>+INSUMOS!E156</f>
        <v>42</v>
      </c>
    </row>
    <row r="2122" spans="1:5" x14ac:dyDescent="0.25">
      <c r="A2122" s="77" t="s">
        <v>1210</v>
      </c>
      <c r="B2122" s="78">
        <f>+INSUMOS!B216</f>
        <v>310000</v>
      </c>
      <c r="C2122" s="98">
        <v>1</v>
      </c>
      <c r="D2122" s="75">
        <f t="shared" si="59"/>
        <v>310000</v>
      </c>
      <c r="E2122" s="97">
        <f>+INSUMOS!E216</f>
        <v>7</v>
      </c>
    </row>
    <row r="2123" spans="1:5" x14ac:dyDescent="0.25">
      <c r="A2123" s="77" t="s">
        <v>1211</v>
      </c>
      <c r="B2123" s="78">
        <f>+INSUMOS!B398</f>
        <v>75000</v>
      </c>
      <c r="C2123" s="98">
        <v>1</v>
      </c>
      <c r="D2123" s="75">
        <f t="shared" si="59"/>
        <v>75000</v>
      </c>
      <c r="E2123" s="97"/>
    </row>
    <row r="2124" spans="1:5" x14ac:dyDescent="0.25">
      <c r="A2124" s="77" t="s">
        <v>1212</v>
      </c>
      <c r="B2124" s="78">
        <f>+INSUMOS!B357</f>
        <v>680000</v>
      </c>
      <c r="C2124" s="98">
        <v>1</v>
      </c>
      <c r="D2124" s="75">
        <f t="shared" si="59"/>
        <v>680000</v>
      </c>
      <c r="E2124" s="105" t="s">
        <v>232</v>
      </c>
    </row>
    <row r="2125" spans="1:5" x14ac:dyDescent="0.25">
      <c r="A2125" s="77" t="s">
        <v>1213</v>
      </c>
      <c r="B2125" s="78">
        <f>+INSUMOS!B376</f>
        <v>480000</v>
      </c>
      <c r="C2125" s="98">
        <v>1</v>
      </c>
      <c r="D2125" s="75">
        <f t="shared" si="59"/>
        <v>480000</v>
      </c>
      <c r="E2125" s="105"/>
    </row>
    <row r="2126" spans="1:5" x14ac:dyDescent="0.25">
      <c r="A2126" s="77" t="s">
        <v>791</v>
      </c>
      <c r="B2126" s="78">
        <f>+INSUMOS!B320</f>
        <v>180000</v>
      </c>
      <c r="C2126" s="98">
        <v>1</v>
      </c>
      <c r="D2126" s="75">
        <f t="shared" si="59"/>
        <v>180000</v>
      </c>
      <c r="E2126" s="105"/>
    </row>
    <row r="2127" spans="1:5" x14ac:dyDescent="0.25">
      <c r="A2127" s="82"/>
      <c r="B2127" s="83"/>
      <c r="C2127" s="83" t="s">
        <v>122</v>
      </c>
      <c r="D2127" s="83">
        <f>SUM(D2121:D2126)</f>
        <v>3415000</v>
      </c>
      <c r="E2127" s="100">
        <f>SUM(E2121:E2126)</f>
        <v>49</v>
      </c>
    </row>
    <row r="2129" spans="1:5" x14ac:dyDescent="0.25">
      <c r="A2129" s="279" t="s">
        <v>1214</v>
      </c>
      <c r="B2129" s="279"/>
      <c r="C2129" s="279"/>
      <c r="D2129" s="279"/>
      <c r="E2129" s="279"/>
    </row>
    <row r="2130" spans="1:5" x14ac:dyDescent="0.25">
      <c r="A2130" s="72" t="s">
        <v>92</v>
      </c>
      <c r="B2130" s="72" t="s">
        <v>226</v>
      </c>
      <c r="C2130" s="72" t="s">
        <v>227</v>
      </c>
      <c r="D2130" s="72" t="s">
        <v>228</v>
      </c>
      <c r="E2130" s="73" t="s">
        <v>229</v>
      </c>
    </row>
    <row r="2131" spans="1:5" x14ac:dyDescent="0.25">
      <c r="A2131" s="74" t="s">
        <v>1215</v>
      </c>
      <c r="B2131" s="75">
        <f>+INSUMOS!B144</f>
        <v>405000</v>
      </c>
      <c r="C2131" s="103">
        <v>1</v>
      </c>
      <c r="D2131" s="75">
        <f>C2131*B2131</f>
        <v>405000</v>
      </c>
      <c r="E2131" s="102">
        <f>+INSUMOS!E144</f>
        <v>30</v>
      </c>
    </row>
    <row r="2132" spans="1:5" x14ac:dyDescent="0.25">
      <c r="A2132" s="77" t="s">
        <v>1025</v>
      </c>
      <c r="B2132" s="78">
        <f>+INSUMOS!B249</f>
        <v>360000</v>
      </c>
      <c r="C2132" s="98">
        <v>1</v>
      </c>
      <c r="D2132" s="75">
        <f>C2132*B2132</f>
        <v>360000</v>
      </c>
      <c r="E2132" s="97">
        <f>+INSUMOS!E249</f>
        <v>8</v>
      </c>
    </row>
    <row r="2133" spans="1:5" x14ac:dyDescent="0.25">
      <c r="A2133" s="77" t="s">
        <v>996</v>
      </c>
      <c r="B2133" s="78">
        <f>+INSUMOS!B294</f>
        <v>350000</v>
      </c>
      <c r="C2133" s="98">
        <v>1</v>
      </c>
      <c r="D2133" s="75">
        <f>C2133*B2133</f>
        <v>350000</v>
      </c>
      <c r="E2133" s="105" t="s">
        <v>232</v>
      </c>
    </row>
    <row r="2134" spans="1:5" x14ac:dyDescent="0.25">
      <c r="A2134" s="77" t="s">
        <v>997</v>
      </c>
      <c r="B2134" s="78">
        <f>+INSUMOS!B308</f>
        <v>100000</v>
      </c>
      <c r="C2134" s="98">
        <v>1</v>
      </c>
      <c r="D2134" s="75">
        <f>C2134*B2134</f>
        <v>100000</v>
      </c>
      <c r="E2134" s="105"/>
    </row>
    <row r="2135" spans="1:5" x14ac:dyDescent="0.25">
      <c r="A2135" s="82"/>
      <c r="B2135" s="83"/>
      <c r="C2135" s="113" t="s">
        <v>122</v>
      </c>
      <c r="D2135" s="83">
        <f>SUM(D2131:D2134)</f>
        <v>1215000</v>
      </c>
      <c r="E2135" s="100">
        <f>SUM(E2131:E2134)</f>
        <v>38</v>
      </c>
    </row>
    <row r="2137" spans="1:5" x14ac:dyDescent="0.25">
      <c r="A2137" s="279" t="s">
        <v>1216</v>
      </c>
      <c r="B2137" s="279"/>
      <c r="C2137" s="279"/>
      <c r="D2137" s="279"/>
      <c r="E2137" s="279"/>
    </row>
    <row r="2138" spans="1:5" x14ac:dyDescent="0.25">
      <c r="A2138" s="72" t="s">
        <v>92</v>
      </c>
      <c r="B2138" s="72" t="s">
        <v>226</v>
      </c>
      <c r="C2138" s="72" t="s">
        <v>227</v>
      </c>
      <c r="D2138" s="72" t="s">
        <v>228</v>
      </c>
      <c r="E2138" s="73" t="s">
        <v>229</v>
      </c>
    </row>
    <row r="2139" spans="1:5" x14ac:dyDescent="0.25">
      <c r="A2139" s="74" t="s">
        <v>1217</v>
      </c>
      <c r="B2139" s="75">
        <f>+INSUMOS!B134</f>
        <v>260000</v>
      </c>
      <c r="C2139" s="103">
        <v>1</v>
      </c>
      <c r="D2139" s="75">
        <f>C2139*B2139</f>
        <v>260000</v>
      </c>
      <c r="E2139" s="102">
        <f>+INSUMOS!E134</f>
        <v>24</v>
      </c>
    </row>
    <row r="2140" spans="1:5" x14ac:dyDescent="0.25">
      <c r="A2140" s="77" t="s">
        <v>1218</v>
      </c>
      <c r="B2140" s="78">
        <f>+INSUMOS!B241</f>
        <v>250000</v>
      </c>
      <c r="C2140" s="98">
        <v>1</v>
      </c>
      <c r="D2140" s="75">
        <f>C2140*B2140</f>
        <v>250000</v>
      </c>
      <c r="E2140" s="97">
        <f>+INSUMOS!E241</f>
        <v>4</v>
      </c>
    </row>
    <row r="2141" spans="1:5" x14ac:dyDescent="0.25">
      <c r="A2141" s="77" t="s">
        <v>702</v>
      </c>
      <c r="B2141" s="78">
        <f>+INSUMOS!B292</f>
        <v>200000</v>
      </c>
      <c r="C2141" s="98">
        <v>1</v>
      </c>
      <c r="D2141" s="75">
        <f>C2141*B2141</f>
        <v>200000</v>
      </c>
      <c r="E2141" s="105" t="s">
        <v>232</v>
      </c>
    </row>
    <row r="2142" spans="1:5" x14ac:dyDescent="0.25">
      <c r="A2142" s="77" t="s">
        <v>703</v>
      </c>
      <c r="B2142" s="78">
        <f>+INSUMOS!B306</f>
        <v>80000</v>
      </c>
      <c r="C2142" s="98">
        <v>1</v>
      </c>
      <c r="D2142" s="75">
        <f>C2142*B2142</f>
        <v>80000</v>
      </c>
      <c r="E2142" s="105"/>
    </row>
    <row r="2143" spans="1:5" x14ac:dyDescent="0.25">
      <c r="A2143" s="82"/>
      <c r="B2143" s="83"/>
      <c r="C2143" s="113" t="s">
        <v>122</v>
      </c>
      <c r="D2143" s="83">
        <f>SUM(D2139:D2142)</f>
        <v>790000</v>
      </c>
      <c r="E2143" s="100">
        <f>SUM(E2139:E2142)</f>
        <v>28</v>
      </c>
    </row>
    <row r="2145" spans="1:5" x14ac:dyDescent="0.25">
      <c r="A2145" s="279" t="s">
        <v>1219</v>
      </c>
      <c r="B2145" s="279"/>
      <c r="C2145" s="279"/>
      <c r="D2145" s="279"/>
      <c r="E2145" s="279"/>
    </row>
    <row r="2146" spans="1:5" x14ac:dyDescent="0.25">
      <c r="A2146" s="72" t="s">
        <v>92</v>
      </c>
      <c r="B2146" s="72" t="s">
        <v>226</v>
      </c>
      <c r="C2146" s="72" t="s">
        <v>227</v>
      </c>
      <c r="D2146" s="72" t="s">
        <v>228</v>
      </c>
      <c r="E2146" s="73" t="s">
        <v>229</v>
      </c>
    </row>
    <row r="2147" spans="1:5" x14ac:dyDescent="0.25">
      <c r="A2147" s="74" t="s">
        <v>1220</v>
      </c>
      <c r="B2147" s="75">
        <f>+INSUMOS!B136</f>
        <v>320000</v>
      </c>
      <c r="C2147" s="103">
        <v>1</v>
      </c>
      <c r="D2147" s="75">
        <f>C2147*B2147</f>
        <v>320000</v>
      </c>
      <c r="E2147" s="102">
        <f>+INSUMOS!E136</f>
        <v>30</v>
      </c>
    </row>
    <row r="2148" spans="1:5" x14ac:dyDescent="0.25">
      <c r="A2148" s="77" t="s">
        <v>706</v>
      </c>
      <c r="B2148" s="78">
        <f>+INSUMOS!B243</f>
        <v>310000</v>
      </c>
      <c r="C2148" s="98">
        <v>1</v>
      </c>
      <c r="D2148" s="75">
        <f>C2148*B2148</f>
        <v>310000</v>
      </c>
      <c r="E2148" s="97">
        <f>+INSUMOS!E243</f>
        <v>6</v>
      </c>
    </row>
    <row r="2149" spans="1:5" x14ac:dyDescent="0.25">
      <c r="A2149" s="77" t="s">
        <v>996</v>
      </c>
      <c r="B2149" s="78">
        <f>+INSUMOS!B294</f>
        <v>350000</v>
      </c>
      <c r="C2149" s="98">
        <v>1</v>
      </c>
      <c r="D2149" s="75">
        <f>C2149*B2149</f>
        <v>350000</v>
      </c>
      <c r="E2149" s="105" t="s">
        <v>232</v>
      </c>
    </row>
    <row r="2150" spans="1:5" x14ac:dyDescent="0.25">
      <c r="A2150" s="77" t="s">
        <v>997</v>
      </c>
      <c r="B2150" s="78">
        <f>+INSUMOS!B308</f>
        <v>100000</v>
      </c>
      <c r="C2150" s="98">
        <v>1</v>
      </c>
      <c r="D2150" s="75">
        <f>C2150*B2150</f>
        <v>100000</v>
      </c>
      <c r="E2150" s="105"/>
    </row>
    <row r="2151" spans="1:5" x14ac:dyDescent="0.25">
      <c r="A2151" s="82"/>
      <c r="B2151" s="83"/>
      <c r="C2151" s="113" t="s">
        <v>122</v>
      </c>
      <c r="D2151" s="83">
        <f>SUM(D2147:D2150)</f>
        <v>1080000</v>
      </c>
      <c r="E2151" s="100">
        <f>SUM(E2147:E2150)</f>
        <v>36</v>
      </c>
    </row>
    <row r="2153" spans="1:5" x14ac:dyDescent="0.25">
      <c r="A2153" s="279" t="s">
        <v>1221</v>
      </c>
      <c r="B2153" s="279"/>
      <c r="C2153" s="279"/>
      <c r="D2153" s="279"/>
      <c r="E2153" s="279"/>
    </row>
    <row r="2154" spans="1:5" x14ac:dyDescent="0.25">
      <c r="A2154" s="72" t="s">
        <v>92</v>
      </c>
      <c r="B2154" s="72" t="s">
        <v>93</v>
      </c>
      <c r="C2154" s="72" t="s">
        <v>227</v>
      </c>
      <c r="D2154" s="72" t="s">
        <v>228</v>
      </c>
      <c r="E2154" s="114" t="s">
        <v>229</v>
      </c>
    </row>
    <row r="2155" spans="1:5" x14ac:dyDescent="0.25">
      <c r="A2155" s="74" t="s">
        <v>1139</v>
      </c>
      <c r="B2155" s="75">
        <f>+INSUMOS!B175</f>
        <v>250000</v>
      </c>
      <c r="C2155" s="103">
        <v>1</v>
      </c>
      <c r="D2155" s="75">
        <f>C2155*B2155</f>
        <v>250000</v>
      </c>
      <c r="E2155" s="102">
        <f>+INSUMOS!E175</f>
        <v>15.000000000000007</v>
      </c>
    </row>
    <row r="2156" spans="1:5" x14ac:dyDescent="0.25">
      <c r="A2156" s="77" t="s">
        <v>968</v>
      </c>
      <c r="B2156" s="78">
        <f>+INSUMOS!B224</f>
        <v>280000</v>
      </c>
      <c r="C2156" s="98">
        <v>1</v>
      </c>
      <c r="D2156" s="75">
        <f>C2156*B2156</f>
        <v>280000</v>
      </c>
      <c r="E2156" s="97">
        <f>+INSUMOS!E224</f>
        <v>10</v>
      </c>
    </row>
    <row r="2157" spans="1:5" x14ac:dyDescent="0.25">
      <c r="A2157" s="77" t="s">
        <v>1141</v>
      </c>
      <c r="B2157" s="78">
        <f>+INSUMOS!B365</f>
        <v>450000</v>
      </c>
      <c r="C2157" s="98">
        <v>1</v>
      </c>
      <c r="D2157" s="75">
        <f>C2157*B2157</f>
        <v>450000</v>
      </c>
      <c r="E2157" s="105" t="s">
        <v>232</v>
      </c>
    </row>
    <row r="2158" spans="1:5" x14ac:dyDescent="0.25">
      <c r="A2158" s="77" t="s">
        <v>1142</v>
      </c>
      <c r="B2158" s="78">
        <f>+INSUMOS!B339</f>
        <v>100000</v>
      </c>
      <c r="C2158" s="98">
        <v>1</v>
      </c>
      <c r="D2158" s="75">
        <f>C2158*B2158</f>
        <v>100000</v>
      </c>
      <c r="E2158" s="105"/>
    </row>
    <row r="2159" spans="1:5" x14ac:dyDescent="0.25">
      <c r="A2159" s="82"/>
      <c r="B2159" s="83"/>
      <c r="C2159" s="83" t="s">
        <v>122</v>
      </c>
      <c r="D2159" s="83">
        <f>SUM(D2155:D2158)</f>
        <v>1080000</v>
      </c>
      <c r="E2159" s="100">
        <f>SUM(E2155:E2158)</f>
        <v>25.000000000000007</v>
      </c>
    </row>
    <row r="2161" spans="1:5" x14ac:dyDescent="0.25">
      <c r="A2161" s="279" t="s">
        <v>1222</v>
      </c>
      <c r="B2161" s="279"/>
      <c r="C2161" s="279"/>
      <c r="D2161" s="279"/>
      <c r="E2161" s="279"/>
    </row>
    <row r="2162" spans="1:5" x14ac:dyDescent="0.25">
      <c r="A2162" s="72" t="s">
        <v>92</v>
      </c>
      <c r="B2162" s="72" t="s">
        <v>226</v>
      </c>
      <c r="C2162" s="72" t="s">
        <v>227</v>
      </c>
      <c r="D2162" s="72" t="s">
        <v>228</v>
      </c>
      <c r="E2162" s="73" t="s">
        <v>229</v>
      </c>
    </row>
    <row r="2163" spans="1:5" x14ac:dyDescent="0.25">
      <c r="A2163" s="74" t="s">
        <v>1223</v>
      </c>
      <c r="B2163" s="75">
        <f>+INSUMOS!B129</f>
        <v>130000</v>
      </c>
      <c r="C2163" s="103">
        <v>1</v>
      </c>
      <c r="D2163" s="75">
        <f>C2163*B2163</f>
        <v>130000</v>
      </c>
      <c r="E2163" s="102">
        <f>+INSUMOS!E129</f>
        <v>2.5</v>
      </c>
    </row>
    <row r="2164" spans="1:5" x14ac:dyDescent="0.25">
      <c r="A2164" s="77" t="s">
        <v>658</v>
      </c>
      <c r="B2164" s="78">
        <f>+INSUMOS!B5</f>
        <v>154000</v>
      </c>
      <c r="C2164" s="98">
        <v>0.15</v>
      </c>
      <c r="D2164" s="75">
        <f>C2164*B2164</f>
        <v>23100</v>
      </c>
      <c r="E2164" s="97">
        <f>+C2164*INSUMOS!E5</f>
        <v>2.3865922265492139</v>
      </c>
    </row>
    <row r="2165" spans="1:5" x14ac:dyDescent="0.25">
      <c r="A2165" s="77" t="s">
        <v>659</v>
      </c>
      <c r="B2165" s="78">
        <f>+INSUMOS!B297</f>
        <v>200000</v>
      </c>
      <c r="C2165" s="98">
        <v>1</v>
      </c>
      <c r="D2165" s="75">
        <f>C2165*B2165</f>
        <v>200000</v>
      </c>
      <c r="E2165" s="105" t="s">
        <v>232</v>
      </c>
    </row>
    <row r="2166" spans="1:5" x14ac:dyDescent="0.25">
      <c r="A2166" s="77" t="s">
        <v>1072</v>
      </c>
      <c r="B2166" s="78">
        <f>+INSUMOS!B287</f>
        <v>70000</v>
      </c>
      <c r="C2166" s="98">
        <v>1</v>
      </c>
      <c r="D2166" s="75">
        <f>C2166*B2166</f>
        <v>70000</v>
      </c>
      <c r="E2166" s="105"/>
    </row>
    <row r="2167" spans="1:5" x14ac:dyDescent="0.25">
      <c r="A2167" s="77" t="s">
        <v>1073</v>
      </c>
      <c r="B2167" s="78">
        <f>+INSUMOS!B301</f>
        <v>35000</v>
      </c>
      <c r="C2167" s="98">
        <v>1</v>
      </c>
      <c r="D2167" s="75">
        <f>C2167*B2167</f>
        <v>35000</v>
      </c>
      <c r="E2167" s="105"/>
    </row>
    <row r="2168" spans="1:5" x14ac:dyDescent="0.25">
      <c r="A2168" s="82"/>
      <c r="B2168" s="83"/>
      <c r="C2168" s="83" t="s">
        <v>122</v>
      </c>
      <c r="D2168" s="83">
        <f>SUM(D2163:D2167)</f>
        <v>458100</v>
      </c>
      <c r="E2168" s="100">
        <f>SUM(E2163:E2167)</f>
        <v>4.8865922265492134</v>
      </c>
    </row>
  </sheetData>
  <mergeCells count="235">
    <mergeCell ref="A2161:E2161"/>
    <mergeCell ref="A2081:E2081"/>
    <mergeCell ref="A2090:E2090"/>
    <mergeCell ref="A2099:E2099"/>
    <mergeCell ref="A2110:E2110"/>
    <mergeCell ref="A2119:E2119"/>
    <mergeCell ref="A2129:E2129"/>
    <mergeCell ref="A2137:E2137"/>
    <mergeCell ref="A2145:E2145"/>
    <mergeCell ref="A2153:E2153"/>
    <mergeCell ref="A2002:E2002"/>
    <mergeCell ref="A2010:E2010"/>
    <mergeCell ref="A2018:E2018"/>
    <mergeCell ref="A2026:E2026"/>
    <mergeCell ref="A2035:E2035"/>
    <mergeCell ref="A2044:E2044"/>
    <mergeCell ref="A2054:E2054"/>
    <mergeCell ref="A2063:E2063"/>
    <mergeCell ref="A2072:E2072"/>
    <mergeCell ref="A1916:E1916"/>
    <mergeCell ref="A1926:E1926"/>
    <mergeCell ref="A1936:E1936"/>
    <mergeCell ref="A1945:E1945"/>
    <mergeCell ref="A1954:E1954"/>
    <mergeCell ref="A1964:E1964"/>
    <mergeCell ref="A1974:E1974"/>
    <mergeCell ref="A1984:E1984"/>
    <mergeCell ref="A1994:E1994"/>
    <mergeCell ref="A1832:E1832"/>
    <mergeCell ref="A1842:E1842"/>
    <mergeCell ref="A1852:E1852"/>
    <mergeCell ref="A1862:E1862"/>
    <mergeCell ref="A1872:E1872"/>
    <mergeCell ref="A1882:E1882"/>
    <mergeCell ref="A1890:E1890"/>
    <mergeCell ref="A1899:E1899"/>
    <mergeCell ref="A1907:E1907"/>
    <mergeCell ref="A1754:E1754"/>
    <mergeCell ref="A1764:E1764"/>
    <mergeCell ref="A1773:E1773"/>
    <mergeCell ref="A1782:E1782"/>
    <mergeCell ref="A1790:E1790"/>
    <mergeCell ref="A1798:E1798"/>
    <mergeCell ref="A1806:E1806"/>
    <mergeCell ref="A1814:E1814"/>
    <mergeCell ref="A1822:E1822"/>
    <mergeCell ref="A1673:E1673"/>
    <mergeCell ref="A1683:E1683"/>
    <mergeCell ref="A1693:E1693"/>
    <mergeCell ref="A1701:E1701"/>
    <mergeCell ref="A1710:E1710"/>
    <mergeCell ref="A1718:E1718"/>
    <mergeCell ref="A1726:E1726"/>
    <mergeCell ref="A1736:E1736"/>
    <mergeCell ref="A1746:E1746"/>
    <mergeCell ref="A1594:E1594"/>
    <mergeCell ref="A1604:E1604"/>
    <mergeCell ref="A1613:E1613"/>
    <mergeCell ref="A1622:E1622"/>
    <mergeCell ref="A1630:E1630"/>
    <mergeCell ref="A1639:E1639"/>
    <mergeCell ref="A1647:E1647"/>
    <mergeCell ref="A1655:E1655"/>
    <mergeCell ref="A1665:E1665"/>
    <mergeCell ref="A1516:E1516"/>
    <mergeCell ref="A1524:E1524"/>
    <mergeCell ref="A1534:E1534"/>
    <mergeCell ref="A1542:E1542"/>
    <mergeCell ref="A1551:E1551"/>
    <mergeCell ref="A1560:E1560"/>
    <mergeCell ref="A1570:E1570"/>
    <mergeCell ref="A1578:E1578"/>
    <mergeCell ref="A1586:E1586"/>
    <mergeCell ref="A1431:E1431"/>
    <mergeCell ref="A1441:E1441"/>
    <mergeCell ref="A1450:E1450"/>
    <mergeCell ref="A1459:E1459"/>
    <mergeCell ref="A1468:E1468"/>
    <mergeCell ref="A1478:E1478"/>
    <mergeCell ref="A1487:E1487"/>
    <mergeCell ref="A1497:E1497"/>
    <mergeCell ref="A1506:E1506"/>
    <mergeCell ref="A1349:E1349"/>
    <mergeCell ref="A1358:E1358"/>
    <mergeCell ref="A1366:E1366"/>
    <mergeCell ref="A1375:E1375"/>
    <mergeCell ref="A1385:E1385"/>
    <mergeCell ref="A1393:E1393"/>
    <mergeCell ref="A1403:E1403"/>
    <mergeCell ref="A1412:E1412"/>
    <mergeCell ref="A1421:E1421"/>
    <mergeCell ref="A1265:E1265"/>
    <mergeCell ref="A1275:E1275"/>
    <mergeCell ref="A1285:E1285"/>
    <mergeCell ref="A1295:E1295"/>
    <mergeCell ref="A1305:E1305"/>
    <mergeCell ref="A1314:E1314"/>
    <mergeCell ref="A1323:E1323"/>
    <mergeCell ref="A1331:E1331"/>
    <mergeCell ref="A1340:E1340"/>
    <mergeCell ref="A1187:E1187"/>
    <mergeCell ref="A1195:E1195"/>
    <mergeCell ref="A1203:E1203"/>
    <mergeCell ref="A1213:E1213"/>
    <mergeCell ref="A1222:E1222"/>
    <mergeCell ref="A1230:E1230"/>
    <mergeCell ref="A1239:E1239"/>
    <mergeCell ref="A1247:E1247"/>
    <mergeCell ref="A1256:E1256"/>
    <mergeCell ref="A1105:E1105"/>
    <mergeCell ref="A1114:E1114"/>
    <mergeCell ref="A1123:E1123"/>
    <mergeCell ref="A1132:E1132"/>
    <mergeCell ref="A1141:E1141"/>
    <mergeCell ref="A1151:E1151"/>
    <mergeCell ref="A1161:E1161"/>
    <mergeCell ref="A1171:E1171"/>
    <mergeCell ref="A1179:E1179"/>
    <mergeCell ref="A1016:E1016"/>
    <mergeCell ref="A1026:E1026"/>
    <mergeCell ref="A1036:E1036"/>
    <mergeCell ref="A1046:E1046"/>
    <mergeCell ref="A1056:E1056"/>
    <mergeCell ref="A1066:E1066"/>
    <mergeCell ref="A1076:E1076"/>
    <mergeCell ref="A1086:E1086"/>
    <mergeCell ref="A1095:E1095"/>
    <mergeCell ref="A935:E935"/>
    <mergeCell ref="A943:E943"/>
    <mergeCell ref="A952:E952"/>
    <mergeCell ref="A961:E961"/>
    <mergeCell ref="A970:E970"/>
    <mergeCell ref="A979:E979"/>
    <mergeCell ref="A988:E988"/>
    <mergeCell ref="A997:E997"/>
    <mergeCell ref="A1006:E1006"/>
    <mergeCell ref="A854:E854"/>
    <mergeCell ref="A863:E863"/>
    <mergeCell ref="A872:E872"/>
    <mergeCell ref="A881:E881"/>
    <mergeCell ref="A890:E890"/>
    <mergeCell ref="A899:E899"/>
    <mergeCell ref="A908:E908"/>
    <mergeCell ref="A917:E917"/>
    <mergeCell ref="A926:E926"/>
    <mergeCell ref="A775:E775"/>
    <mergeCell ref="A784:E784"/>
    <mergeCell ref="A793:E793"/>
    <mergeCell ref="A802:E802"/>
    <mergeCell ref="A811:E811"/>
    <mergeCell ref="A819:E819"/>
    <mergeCell ref="A828:E828"/>
    <mergeCell ref="A836:E836"/>
    <mergeCell ref="A845:E845"/>
    <mergeCell ref="A693:E693"/>
    <mergeCell ref="A702:E702"/>
    <mergeCell ref="A712:E712"/>
    <mergeCell ref="A722:E722"/>
    <mergeCell ref="A731:E731"/>
    <mergeCell ref="A740:E740"/>
    <mergeCell ref="A749:E749"/>
    <mergeCell ref="A757:E757"/>
    <mergeCell ref="A766:E766"/>
    <mergeCell ref="A613:E613"/>
    <mergeCell ref="A622:E622"/>
    <mergeCell ref="A631:E631"/>
    <mergeCell ref="A640:E640"/>
    <mergeCell ref="A650:E650"/>
    <mergeCell ref="A659:E659"/>
    <mergeCell ref="A667:E667"/>
    <mergeCell ref="A675:E675"/>
    <mergeCell ref="A684:E684"/>
    <mergeCell ref="A529:E529"/>
    <mergeCell ref="A538:E538"/>
    <mergeCell ref="A547:E547"/>
    <mergeCell ref="A557:E557"/>
    <mergeCell ref="A567:E567"/>
    <mergeCell ref="A576:E576"/>
    <mergeCell ref="A586:E586"/>
    <mergeCell ref="A595:E595"/>
    <mergeCell ref="A604:E604"/>
    <mergeCell ref="A445:E445"/>
    <mergeCell ref="A454:E454"/>
    <mergeCell ref="A463:E463"/>
    <mergeCell ref="A473:E473"/>
    <mergeCell ref="A482:E482"/>
    <mergeCell ref="A491:E491"/>
    <mergeCell ref="A501:E501"/>
    <mergeCell ref="A510:E510"/>
    <mergeCell ref="A519:E519"/>
    <mergeCell ref="A359:E359"/>
    <mergeCell ref="A369:E369"/>
    <mergeCell ref="A379:E379"/>
    <mergeCell ref="A389:E389"/>
    <mergeCell ref="A399:E399"/>
    <mergeCell ref="A407:E407"/>
    <mergeCell ref="A417:E417"/>
    <mergeCell ref="A427:E427"/>
    <mergeCell ref="A436:E436"/>
    <mergeCell ref="A269:E269"/>
    <mergeCell ref="A279:E279"/>
    <mergeCell ref="A289:E289"/>
    <mergeCell ref="A299:E299"/>
    <mergeCell ref="A309:E309"/>
    <mergeCell ref="A319:E319"/>
    <mergeCell ref="A328:E328"/>
    <mergeCell ref="A339:E339"/>
    <mergeCell ref="A349:E349"/>
    <mergeCell ref="A180:E180"/>
    <mergeCell ref="A190:E190"/>
    <mergeCell ref="A200:E200"/>
    <mergeCell ref="A210:E210"/>
    <mergeCell ref="A220:E220"/>
    <mergeCell ref="A230:E230"/>
    <mergeCell ref="A240:E240"/>
    <mergeCell ref="A250:E250"/>
    <mergeCell ref="A259:E259"/>
    <mergeCell ref="A91:E91"/>
    <mergeCell ref="A101:E101"/>
    <mergeCell ref="A111:E111"/>
    <mergeCell ref="A121:E121"/>
    <mergeCell ref="A131:E131"/>
    <mergeCell ref="A141:E141"/>
    <mergeCell ref="A151:E151"/>
    <mergeCell ref="A160:E160"/>
    <mergeCell ref="A170:E170"/>
    <mergeCell ref="A1:E1"/>
    <mergeCell ref="A11:E11"/>
    <mergeCell ref="A21:E21"/>
    <mergeCell ref="A31:E31"/>
    <mergeCell ref="A41:E41"/>
    <mergeCell ref="A51:E51"/>
    <mergeCell ref="A61:E61"/>
    <mergeCell ref="A71:E71"/>
    <mergeCell ref="A81:E8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45"/>
  <sheetViews>
    <sheetView zoomScale="85" zoomScaleNormal="85" workbookViewId="0">
      <selection activeCell="B8" sqref="B8"/>
    </sheetView>
  </sheetViews>
  <sheetFormatPr baseColWidth="10" defaultColWidth="9.140625" defaultRowHeight="15" x14ac:dyDescent="0.25"/>
  <cols>
    <col min="1" max="1" width="29.85546875" customWidth="1"/>
    <col min="2" max="2" width="15.85546875" customWidth="1"/>
    <col min="3" max="3" width="19.28515625" customWidth="1"/>
    <col min="4" max="4" width="23.140625" customWidth="1"/>
    <col min="5" max="6" width="9.140625" customWidth="1"/>
    <col min="7" max="8" width="11.42578125"/>
    <col min="9" max="1025" width="9.140625" customWidth="1"/>
  </cols>
  <sheetData>
    <row r="1" spans="1:5" x14ac:dyDescent="0.25">
      <c r="A1" s="117" t="s">
        <v>1224</v>
      </c>
      <c r="B1" s="117" t="s">
        <v>1225</v>
      </c>
      <c r="C1" s="117" t="s">
        <v>1226</v>
      </c>
      <c r="D1" s="117" t="s">
        <v>1227</v>
      </c>
      <c r="E1" s="117" t="s">
        <v>1228</v>
      </c>
    </row>
    <row r="2" spans="1:5" x14ac:dyDescent="0.25">
      <c r="A2" t="s">
        <v>1229</v>
      </c>
      <c r="B2" s="118">
        <v>39000</v>
      </c>
      <c r="C2" s="119">
        <v>42426</v>
      </c>
      <c r="D2" t="s">
        <v>1230</v>
      </c>
      <c r="E2" s="120">
        <f>PI()*0.0254^2/4*7850</f>
        <v>3.9776537109153569</v>
      </c>
    </row>
    <row r="3" spans="1:5" x14ac:dyDescent="0.25">
      <c r="A3" t="s">
        <v>1231</v>
      </c>
      <c r="B3" s="118">
        <v>64000</v>
      </c>
      <c r="C3" s="119">
        <v>42426</v>
      </c>
      <c r="D3" t="s">
        <v>1230</v>
      </c>
      <c r="E3" s="120">
        <f>PI()*(1.25*0.0254)^2/4*7850</f>
        <v>6.2150839233052464</v>
      </c>
    </row>
    <row r="4" spans="1:5" x14ac:dyDescent="0.25">
      <c r="A4" t="s">
        <v>1232</v>
      </c>
      <c r="B4" s="118">
        <v>87000</v>
      </c>
      <c r="C4" s="119">
        <v>42426</v>
      </c>
      <c r="D4" t="s">
        <v>1230</v>
      </c>
      <c r="E4" s="120">
        <f>PI()*(1.5*0.0254)^2/4*7850</f>
        <v>8.9497208495595526</v>
      </c>
    </row>
    <row r="5" spans="1:5" x14ac:dyDescent="0.25">
      <c r="A5" t="s">
        <v>1233</v>
      </c>
      <c r="B5" s="118">
        <v>154000</v>
      </c>
      <c r="C5" s="119">
        <v>42426</v>
      </c>
      <c r="D5" t="s">
        <v>1230</v>
      </c>
      <c r="E5" s="120">
        <f>PI()*(2*0.0254)^2/4*7850</f>
        <v>15.910614843661428</v>
      </c>
    </row>
    <row r="6" spans="1:5" x14ac:dyDescent="0.25">
      <c r="A6" t="s">
        <v>1234</v>
      </c>
      <c r="B6" s="118">
        <v>225000</v>
      </c>
      <c r="C6" s="119">
        <v>42426</v>
      </c>
      <c r="D6" t="s">
        <v>1230</v>
      </c>
      <c r="E6" s="120">
        <f>PI()*(2.5*0.0254)^2/4*7850</f>
        <v>24.860335693220986</v>
      </c>
    </row>
    <row r="7" spans="1:5" x14ac:dyDescent="0.25">
      <c r="A7" t="s">
        <v>1235</v>
      </c>
      <c r="B7" s="118">
        <v>461000</v>
      </c>
      <c r="C7" s="119">
        <v>42444</v>
      </c>
      <c r="D7" t="s">
        <v>1236</v>
      </c>
      <c r="E7" s="120">
        <f>PI()*(3*0.0254)^2/4*7850</f>
        <v>35.79888339823821</v>
      </c>
    </row>
    <row r="8" spans="1:5" x14ac:dyDescent="0.25">
      <c r="A8" t="s">
        <v>16</v>
      </c>
      <c r="B8" s="118">
        <v>563000</v>
      </c>
      <c r="C8" s="119">
        <v>42429</v>
      </c>
      <c r="D8" t="s">
        <v>1230</v>
      </c>
      <c r="E8" s="120">
        <f>PI()*(4*0.0254)^2/4*7850</f>
        <v>63.642459374645711</v>
      </c>
    </row>
    <row r="9" spans="1:5" x14ac:dyDescent="0.25">
      <c r="A9" t="s">
        <v>1237</v>
      </c>
      <c r="B9" s="118">
        <v>1267000</v>
      </c>
      <c r="C9" s="119">
        <v>42474</v>
      </c>
      <c r="D9" t="s">
        <v>1230</v>
      </c>
      <c r="E9" s="120">
        <f>PI()*(6*0.0254)^2/4*7850</f>
        <v>143.19553359295284</v>
      </c>
    </row>
    <row r="10" spans="1:5" x14ac:dyDescent="0.25">
      <c r="A10" t="s">
        <v>1238</v>
      </c>
      <c r="B10" s="118">
        <v>2765000</v>
      </c>
      <c r="C10" s="119">
        <v>42479</v>
      </c>
      <c r="D10" t="s">
        <v>1230</v>
      </c>
      <c r="E10" s="120">
        <f>PI()*(8*0.0254)^2/4*7850</f>
        <v>254.56983749858284</v>
      </c>
    </row>
    <row r="11" spans="1:5" x14ac:dyDescent="0.25">
      <c r="A11" t="s">
        <v>1239</v>
      </c>
      <c r="B11" s="118">
        <v>4000000</v>
      </c>
      <c r="C11" s="121">
        <v>42697</v>
      </c>
      <c r="D11" t="s">
        <v>1236</v>
      </c>
      <c r="E11" s="120">
        <f>PI()*(10*0.0254)^2/4*7850</f>
        <v>397.76537109153577</v>
      </c>
    </row>
    <row r="12" spans="1:5" x14ac:dyDescent="0.25">
      <c r="A12" s="117" t="s">
        <v>1240</v>
      </c>
      <c r="B12" s="117" t="s">
        <v>1225</v>
      </c>
      <c r="C12" s="117" t="s">
        <v>1226</v>
      </c>
      <c r="D12" s="117" t="s">
        <v>1227</v>
      </c>
      <c r="E12" s="117" t="s">
        <v>1228</v>
      </c>
    </row>
    <row r="13" spans="1:5" x14ac:dyDescent="0.25">
      <c r="A13" s="16" t="s">
        <v>1241</v>
      </c>
      <c r="B13" s="122">
        <v>80000</v>
      </c>
      <c r="C13" s="123" t="s">
        <v>1242</v>
      </c>
      <c r="D13" s="16" t="s">
        <v>1236</v>
      </c>
      <c r="E13" s="124">
        <f>E2</f>
        <v>3.9776537109153569</v>
      </c>
    </row>
    <row r="14" spans="1:5" x14ac:dyDescent="0.25">
      <c r="A14" s="16" t="s">
        <v>1243</v>
      </c>
      <c r="B14" s="122">
        <v>120000</v>
      </c>
      <c r="C14" s="123" t="s">
        <v>1242</v>
      </c>
      <c r="D14" s="16" t="s">
        <v>1236</v>
      </c>
      <c r="E14" s="124">
        <f>E3</f>
        <v>6.2150839233052464</v>
      </c>
    </row>
    <row r="15" spans="1:5" x14ac:dyDescent="0.25">
      <c r="A15" t="s">
        <v>1232</v>
      </c>
      <c r="B15" s="118">
        <v>140000</v>
      </c>
      <c r="C15" s="119">
        <v>42460</v>
      </c>
      <c r="D15" t="s">
        <v>1236</v>
      </c>
      <c r="E15" s="120">
        <f>E4</f>
        <v>8.9497208495595526</v>
      </c>
    </row>
    <row r="16" spans="1:5" x14ac:dyDescent="0.25">
      <c r="A16" t="s">
        <v>19</v>
      </c>
      <c r="B16" s="118">
        <v>240000</v>
      </c>
      <c r="C16" s="119">
        <v>42444</v>
      </c>
      <c r="D16" t="s">
        <v>1236</v>
      </c>
      <c r="E16" s="120">
        <f>E5</f>
        <v>15.910614843661428</v>
      </c>
    </row>
    <row r="17" spans="1:6" x14ac:dyDescent="0.25">
      <c r="A17" t="s">
        <v>1244</v>
      </c>
      <c r="B17" s="118">
        <v>265000</v>
      </c>
      <c r="C17" s="119">
        <v>42444</v>
      </c>
      <c r="D17" t="s">
        <v>1236</v>
      </c>
      <c r="E17" s="120">
        <f>PI()*(2.25*0.0254)^2/4*7850</f>
        <v>20.136871911508994</v>
      </c>
    </row>
    <row r="18" spans="1:6" x14ac:dyDescent="0.25">
      <c r="A18" t="s">
        <v>1245</v>
      </c>
      <c r="B18" s="118">
        <v>322000</v>
      </c>
      <c r="C18" s="119">
        <v>42444</v>
      </c>
      <c r="D18" t="s">
        <v>1236</v>
      </c>
      <c r="E18" s="120">
        <f>E6</f>
        <v>24.860335693220986</v>
      </c>
    </row>
    <row r="19" spans="1:6" x14ac:dyDescent="0.25">
      <c r="A19" t="s">
        <v>1246</v>
      </c>
      <c r="B19" s="118">
        <v>461000</v>
      </c>
      <c r="C19" s="119">
        <v>42444</v>
      </c>
      <c r="D19" t="s">
        <v>1236</v>
      </c>
      <c r="E19" s="120">
        <f>E7</f>
        <v>35.79888339823821</v>
      </c>
    </row>
    <row r="20" spans="1:6" x14ac:dyDescent="0.25">
      <c r="A20" t="s">
        <v>1247</v>
      </c>
      <c r="B20" s="118">
        <v>625000</v>
      </c>
      <c r="C20" s="119">
        <v>42444</v>
      </c>
      <c r="D20" t="s">
        <v>1236</v>
      </c>
      <c r="E20" s="120">
        <f>PI()*(3.5*0.0254)^2/4*7850</f>
        <v>48.72625795871312</v>
      </c>
    </row>
    <row r="21" spans="1:6" x14ac:dyDescent="0.25">
      <c r="A21" t="s">
        <v>16</v>
      </c>
      <c r="B21" s="118">
        <v>720000</v>
      </c>
      <c r="C21" s="119">
        <v>42521</v>
      </c>
      <c r="D21" t="s">
        <v>1236</v>
      </c>
      <c r="E21" s="120">
        <f>PI()*(4*0.0254)^2/4*7850</f>
        <v>63.642459374645711</v>
      </c>
    </row>
    <row r="22" spans="1:6" x14ac:dyDescent="0.25">
      <c r="A22" t="s">
        <v>1248</v>
      </c>
      <c r="B22" s="125">
        <f>B21*POWER(6/4,2)*1.2</f>
        <v>1944000</v>
      </c>
      <c r="C22" s="119">
        <v>42528</v>
      </c>
      <c r="D22" t="s">
        <v>1249</v>
      </c>
      <c r="E22" s="120">
        <v>143.19999999999999</v>
      </c>
    </row>
    <row r="23" spans="1:6" x14ac:dyDescent="0.25">
      <c r="A23" t="s">
        <v>1250</v>
      </c>
      <c r="B23" s="118">
        <f>1.3*B10</f>
        <v>3594500</v>
      </c>
      <c r="C23" s="119">
        <v>42521</v>
      </c>
      <c r="D23" t="s">
        <v>1236</v>
      </c>
      <c r="E23" s="120">
        <f>PI()*(8*0.0254)^2/4*7850</f>
        <v>254.56983749858284</v>
      </c>
    </row>
    <row r="24" spans="1:6" x14ac:dyDescent="0.25">
      <c r="A24" t="s">
        <v>1239</v>
      </c>
      <c r="B24" s="118">
        <v>6500000</v>
      </c>
      <c r="C24" s="119" t="s">
        <v>1251</v>
      </c>
      <c r="D24" t="s">
        <v>1236</v>
      </c>
      <c r="E24" s="120">
        <f>PI()*(10*0.0254)^2/4*7850</f>
        <v>397.76537109153577</v>
      </c>
    </row>
    <row r="25" spans="1:6" x14ac:dyDescent="0.25">
      <c r="A25" s="117" t="s">
        <v>1252</v>
      </c>
      <c r="B25" s="117" t="s">
        <v>1225</v>
      </c>
      <c r="C25" s="117" t="s">
        <v>1226</v>
      </c>
      <c r="D25" s="117" t="s">
        <v>1227</v>
      </c>
      <c r="E25" s="117" t="s">
        <v>1228</v>
      </c>
    </row>
    <row r="26" spans="1:6" x14ac:dyDescent="0.25">
      <c r="A26" t="s">
        <v>1243</v>
      </c>
      <c r="B26" s="118">
        <v>35500</v>
      </c>
      <c r="C26" s="119">
        <v>42579</v>
      </c>
      <c r="D26" t="s">
        <v>1253</v>
      </c>
      <c r="E26" s="120">
        <f>PI()*(1.25*0.0254)^2/4*7850</f>
        <v>6.2150839233052464</v>
      </c>
    </row>
    <row r="27" spans="1:6" x14ac:dyDescent="0.25">
      <c r="A27" t="s">
        <v>1254</v>
      </c>
      <c r="B27" s="118">
        <v>42500</v>
      </c>
      <c r="C27" s="119">
        <v>42579</v>
      </c>
      <c r="D27" t="s">
        <v>1253</v>
      </c>
      <c r="E27" s="120">
        <f>PI()*(1.375*0.0254)^2/4*7850</f>
        <v>7.5202515471993454</v>
      </c>
    </row>
    <row r="28" spans="1:6" x14ac:dyDescent="0.25">
      <c r="A28" s="117" t="s">
        <v>1255</v>
      </c>
      <c r="B28" s="117" t="s">
        <v>1225</v>
      </c>
      <c r="C28" s="117" t="s">
        <v>1226</v>
      </c>
      <c r="D28" s="117" t="s">
        <v>1227</v>
      </c>
      <c r="E28" s="117" t="s">
        <v>1228</v>
      </c>
    </row>
    <row r="29" spans="1:6" x14ac:dyDescent="0.25">
      <c r="A29" t="s">
        <v>1256</v>
      </c>
      <c r="B29" s="126">
        <v>340000</v>
      </c>
      <c r="C29" s="119">
        <v>42460</v>
      </c>
      <c r="D29" t="s">
        <v>1236</v>
      </c>
      <c r="E29" s="120">
        <f>PI()*(4.5*0.0254)^2/4*7850</f>
        <v>80.547487646035975</v>
      </c>
    </row>
    <row r="30" spans="1:6" x14ac:dyDescent="0.25">
      <c r="A30" t="s">
        <v>1257</v>
      </c>
      <c r="B30" s="126">
        <v>550000</v>
      </c>
      <c r="C30">
        <v>2015</v>
      </c>
      <c r="D30" t="s">
        <v>1236</v>
      </c>
      <c r="E30" s="120">
        <f>PI()*(6*0.0254)^2/4*7850</f>
        <v>143.19553359295284</v>
      </c>
    </row>
    <row r="31" spans="1:6" x14ac:dyDescent="0.25">
      <c r="A31" s="117" t="s">
        <v>1258</v>
      </c>
      <c r="B31" s="117" t="s">
        <v>1225</v>
      </c>
      <c r="C31" s="117" t="s">
        <v>1226</v>
      </c>
      <c r="D31" s="117" t="s">
        <v>1227</v>
      </c>
      <c r="E31" s="117" t="s">
        <v>1228</v>
      </c>
      <c r="F31" s="117"/>
    </row>
    <row r="32" spans="1:6" x14ac:dyDescent="0.25">
      <c r="A32" s="16" t="s">
        <v>1259</v>
      </c>
      <c r="B32" s="122">
        <v>112000</v>
      </c>
      <c r="C32" s="127">
        <v>42550</v>
      </c>
      <c r="D32" s="16" t="s">
        <v>1253</v>
      </c>
      <c r="E32" s="124">
        <f>(PI()*(51/1000)^2-PI()*(40/1000)^2)*7850</f>
        <v>24.686163833010543</v>
      </c>
      <c r="F32" s="16"/>
    </row>
    <row r="33" spans="1:8" x14ac:dyDescent="0.25">
      <c r="A33" s="16" t="s">
        <v>1260</v>
      </c>
      <c r="B33" s="122">
        <v>112000</v>
      </c>
      <c r="C33" s="127">
        <v>42550</v>
      </c>
      <c r="D33" s="16" t="s">
        <v>1253</v>
      </c>
      <c r="E33" s="124">
        <f>(PI()*(38/1000)^2-PI()*(21/1000)^2)*7850</f>
        <v>24.73548683767191</v>
      </c>
      <c r="F33" s="16"/>
    </row>
    <row r="34" spans="1:8" x14ac:dyDescent="0.25">
      <c r="A34" s="16" t="s">
        <v>1261</v>
      </c>
      <c r="B34" s="122">
        <v>212000</v>
      </c>
      <c r="C34" s="127">
        <v>42550</v>
      </c>
      <c r="D34" s="16" t="s">
        <v>1253</v>
      </c>
      <c r="E34" s="124">
        <f>(PI()*(50.5/1000)^2-PI()*(25.5/1000)^2)*7850</f>
        <v>46.856854428291776</v>
      </c>
      <c r="F34" s="16"/>
    </row>
    <row r="35" spans="1:8" ht="14.25" customHeight="1" x14ac:dyDescent="0.25">
      <c r="A35" s="117" t="s">
        <v>1262</v>
      </c>
      <c r="B35" s="117" t="s">
        <v>1225</v>
      </c>
      <c r="C35" s="117" t="s">
        <v>1226</v>
      </c>
      <c r="D35" s="117" t="s">
        <v>1227</v>
      </c>
      <c r="E35" s="117" t="s">
        <v>1228</v>
      </c>
      <c r="F35" s="117"/>
    </row>
    <row r="36" spans="1:8" x14ac:dyDescent="0.25">
      <c r="A36" s="16" t="s">
        <v>1246</v>
      </c>
      <c r="B36" s="122">
        <v>159000</v>
      </c>
      <c r="C36" s="127">
        <v>42550</v>
      </c>
      <c r="D36" s="16" t="s">
        <v>1253</v>
      </c>
      <c r="E36" s="124">
        <f>PI()*(1.5*25.4/1000)^2*7850</f>
        <v>35.79888339823821</v>
      </c>
      <c r="F36" s="16"/>
    </row>
    <row r="37" spans="1:8" x14ac:dyDescent="0.25">
      <c r="A37" s="117" t="s">
        <v>1263</v>
      </c>
      <c r="B37" s="117" t="s">
        <v>1264</v>
      </c>
      <c r="C37" s="117" t="s">
        <v>1226</v>
      </c>
      <c r="D37" s="117" t="s">
        <v>1227</v>
      </c>
      <c r="E37" s="117" t="s">
        <v>1228</v>
      </c>
      <c r="F37" s="117"/>
    </row>
    <row r="38" spans="1:8" x14ac:dyDescent="0.25">
      <c r="A38" s="16" t="s">
        <v>1243</v>
      </c>
      <c r="B38" s="122">
        <v>272600</v>
      </c>
      <c r="C38" s="127">
        <v>42579</v>
      </c>
      <c r="D38" s="16" t="s">
        <v>1265</v>
      </c>
      <c r="E38" s="124">
        <f>(PI()*(1.66*25.4/1000)^2-PI()*((1.66-2*0.109)*25.4/1000)^2)*7850/4</f>
        <v>2.6898326348545578</v>
      </c>
      <c r="F38" s="16"/>
      <c r="G38" s="16"/>
    </row>
    <row r="39" spans="1:8" x14ac:dyDescent="0.25">
      <c r="A39" s="16" t="s">
        <v>19</v>
      </c>
      <c r="B39" s="122">
        <f>58600*5.8</f>
        <v>339880</v>
      </c>
      <c r="C39" s="127">
        <v>42550</v>
      </c>
      <c r="D39" s="16" t="s">
        <v>1253</v>
      </c>
      <c r="E39" s="124">
        <f>(PI()*(2.375*25.4/1000)^2-PI()*((2.375-2*0.109)*25.4/1000)^2)*7850/4</f>
        <v>3.9298264026953125</v>
      </c>
      <c r="F39" s="16"/>
    </row>
    <row r="40" spans="1:8" x14ac:dyDescent="0.25">
      <c r="A40" s="16" t="s">
        <v>1246</v>
      </c>
      <c r="B40" s="122">
        <f>78000*5.8</f>
        <v>452400</v>
      </c>
      <c r="C40" s="127">
        <v>42550</v>
      </c>
      <c r="D40" s="16" t="s">
        <v>1253</v>
      </c>
      <c r="E40" s="124">
        <f>(PI()*(3.5*25.4/1000)^2-PI()*((3.5-2*0.12)*25.4/1000)^2)*7850/4</f>
        <v>6.4533453805890835</v>
      </c>
      <c r="F40" s="16"/>
    </row>
    <row r="41" spans="1:8" x14ac:dyDescent="0.25">
      <c r="A41" s="16" t="s">
        <v>16</v>
      </c>
      <c r="B41" s="122">
        <f>128800*5.8</f>
        <v>747040</v>
      </c>
      <c r="C41" s="127">
        <v>42550</v>
      </c>
      <c r="D41" s="16" t="s">
        <v>1253</v>
      </c>
      <c r="E41" s="124">
        <f>(PI()*(4.5*25.4/1000)^2-PI()*((4.5-2*0.12)*25.4/1000)^2)*7850/4</f>
        <v>8.362619161828448</v>
      </c>
      <c r="F41" s="16"/>
    </row>
    <row r="42" spans="1:8" x14ac:dyDescent="0.25">
      <c r="A42" s="16" t="s">
        <v>1248</v>
      </c>
      <c r="B42" s="122">
        <f>222000*5.8</f>
        <v>1287600</v>
      </c>
      <c r="C42" s="127">
        <v>42550</v>
      </c>
      <c r="D42" s="16" t="s">
        <v>1253</v>
      </c>
      <c r="E42" s="124">
        <f>(PI()*(6.625*25.4/1000)^2-PI()*((6.625-2*0.134)*25.4/1000)^2)*7850/4</f>
        <v>13.838957327327616</v>
      </c>
      <c r="F42" s="16"/>
    </row>
    <row r="43" spans="1:8" x14ac:dyDescent="0.25">
      <c r="A43" s="117" t="s">
        <v>1266</v>
      </c>
      <c r="B43" s="117" t="s">
        <v>1264</v>
      </c>
      <c r="C43" s="117" t="s">
        <v>1226</v>
      </c>
      <c r="D43" s="117" t="s">
        <v>1227</v>
      </c>
      <c r="E43" s="117" t="s">
        <v>1228</v>
      </c>
      <c r="F43" s="117"/>
    </row>
    <row r="44" spans="1:8" x14ac:dyDescent="0.25">
      <c r="A44" s="16" t="s">
        <v>1243</v>
      </c>
      <c r="B44" s="118">
        <v>240000</v>
      </c>
      <c r="C44" s="119">
        <v>42878</v>
      </c>
      <c r="D44" s="16" t="s">
        <v>1267</v>
      </c>
      <c r="E44" s="120">
        <v>3</v>
      </c>
      <c r="F44" s="16"/>
    </row>
    <row r="45" spans="1:8" x14ac:dyDescent="0.25">
      <c r="A45" s="16" t="s">
        <v>1268</v>
      </c>
      <c r="B45" s="118">
        <v>250000</v>
      </c>
      <c r="C45" s="119">
        <v>42878</v>
      </c>
      <c r="D45" s="16" t="s">
        <v>1267</v>
      </c>
      <c r="E45" s="120">
        <v>3.2</v>
      </c>
    </row>
    <row r="46" spans="1:8" x14ac:dyDescent="0.25">
      <c r="A46" t="s">
        <v>19</v>
      </c>
      <c r="B46" s="118">
        <f>400000*1.1</f>
        <v>440000.00000000006</v>
      </c>
      <c r="C46" s="119">
        <v>42627</v>
      </c>
      <c r="D46" t="s">
        <v>1267</v>
      </c>
      <c r="E46" s="120">
        <f>(PI()*(2.375*25.4/1000)^2-PI()*((2.375-2*0.154)*25.4/1000)^2)*7850/4</f>
        <v>5.4419712374368938</v>
      </c>
      <c r="H46" s="117" t="s">
        <v>1269</v>
      </c>
    </row>
    <row r="47" spans="1:8" x14ac:dyDescent="0.25">
      <c r="A47" t="s">
        <v>1245</v>
      </c>
      <c r="B47" s="118">
        <f>580000*1.1</f>
        <v>638000</v>
      </c>
      <c r="C47" s="119">
        <v>42192</v>
      </c>
      <c r="D47" t="s">
        <v>1265</v>
      </c>
      <c r="E47" s="120">
        <v>8.6300000000000008</v>
      </c>
      <c r="H47" s="117" t="s">
        <v>1270</v>
      </c>
    </row>
    <row r="48" spans="1:8" x14ac:dyDescent="0.25">
      <c r="A48" t="s">
        <v>1246</v>
      </c>
      <c r="B48" s="118">
        <f>683240*1.1</f>
        <v>751564.00000000012</v>
      </c>
      <c r="C48" s="119">
        <v>42426</v>
      </c>
      <c r="D48" t="s">
        <v>1265</v>
      </c>
      <c r="E48" s="120">
        <v>11.3</v>
      </c>
      <c r="H48" s="117">
        <v>1.1000000000000001</v>
      </c>
    </row>
    <row r="49" spans="1:8" x14ac:dyDescent="0.25">
      <c r="A49" t="s">
        <v>16</v>
      </c>
      <c r="B49" s="118">
        <f>957000*1.1</f>
        <v>1052700</v>
      </c>
      <c r="C49" s="119">
        <v>42426</v>
      </c>
      <c r="D49" t="s">
        <v>1265</v>
      </c>
      <c r="E49" s="120">
        <v>16.09</v>
      </c>
      <c r="H49" s="128" t="s">
        <v>1271</v>
      </c>
    </row>
    <row r="50" spans="1:8" x14ac:dyDescent="0.25">
      <c r="A50" t="s">
        <v>1272</v>
      </c>
      <c r="B50" s="118">
        <v>1333000</v>
      </c>
      <c r="C50" s="119">
        <v>42753</v>
      </c>
      <c r="D50" t="s">
        <v>1230</v>
      </c>
      <c r="E50" s="120">
        <v>21.8</v>
      </c>
      <c r="H50" s="128"/>
    </row>
    <row r="51" spans="1:8" x14ac:dyDescent="0.25">
      <c r="A51" t="s">
        <v>1248</v>
      </c>
      <c r="B51" s="118">
        <f>2708000*1.1</f>
        <v>2978800.0000000005</v>
      </c>
      <c r="C51" s="119">
        <v>42426</v>
      </c>
      <c r="D51" t="s">
        <v>1265</v>
      </c>
      <c r="E51" s="120">
        <v>28.2</v>
      </c>
      <c r="H51" s="117" t="s">
        <v>1273</v>
      </c>
    </row>
    <row r="52" spans="1:8" x14ac:dyDescent="0.25">
      <c r="A52" t="s">
        <v>1250</v>
      </c>
      <c r="B52" s="118">
        <f>4245000*1.1</f>
        <v>4669500</v>
      </c>
      <c r="C52" s="119">
        <v>42447</v>
      </c>
      <c r="D52" t="s">
        <v>1265</v>
      </c>
      <c r="E52" s="120">
        <v>42.6</v>
      </c>
      <c r="H52" s="117" t="s">
        <v>1274</v>
      </c>
    </row>
    <row r="53" spans="1:8" x14ac:dyDescent="0.25">
      <c r="A53" t="s">
        <v>1239</v>
      </c>
      <c r="B53" s="118">
        <f>5300000*1.1</f>
        <v>5830000.0000000009</v>
      </c>
      <c r="C53" s="119">
        <v>42696</v>
      </c>
      <c r="D53" t="s">
        <v>1236</v>
      </c>
      <c r="E53" s="120">
        <v>60.3</v>
      </c>
      <c r="H53" s="117" t="s">
        <v>1275</v>
      </c>
    </row>
    <row r="54" spans="1:8" x14ac:dyDescent="0.25">
      <c r="A54" s="117" t="s">
        <v>1276</v>
      </c>
      <c r="B54" s="117" t="s">
        <v>1264</v>
      </c>
      <c r="C54" s="117" t="s">
        <v>1226</v>
      </c>
      <c r="D54" s="117" t="s">
        <v>1227</v>
      </c>
      <c r="E54" s="117" t="s">
        <v>1228</v>
      </c>
    </row>
    <row r="55" spans="1:8" x14ac:dyDescent="0.25">
      <c r="A55" s="16" t="s">
        <v>1243</v>
      </c>
      <c r="B55" s="118">
        <v>300000</v>
      </c>
      <c r="C55" s="119">
        <v>42878</v>
      </c>
      <c r="D55" s="16" t="s">
        <v>1267</v>
      </c>
      <c r="E55" s="120">
        <v>2.9</v>
      </c>
    </row>
    <row r="56" spans="1:8" x14ac:dyDescent="0.25">
      <c r="A56" s="16" t="s">
        <v>1268</v>
      </c>
      <c r="B56" s="118">
        <v>310000</v>
      </c>
      <c r="C56" s="119">
        <v>42878</v>
      </c>
      <c r="D56" s="16" t="s">
        <v>1267</v>
      </c>
      <c r="E56" s="120">
        <v>3.2</v>
      </c>
    </row>
    <row r="57" spans="1:8" x14ac:dyDescent="0.25">
      <c r="A57" s="16" t="s">
        <v>19</v>
      </c>
      <c r="B57" s="122">
        <v>1050000</v>
      </c>
      <c r="C57" s="119">
        <v>42478</v>
      </c>
      <c r="D57" t="s">
        <v>1265</v>
      </c>
      <c r="E57" s="120">
        <v>5.4</v>
      </c>
    </row>
    <row r="58" spans="1:8" x14ac:dyDescent="0.25">
      <c r="A58" t="s">
        <v>1245</v>
      </c>
      <c r="B58" s="118">
        <f>B47*2</f>
        <v>1276000</v>
      </c>
      <c r="C58" s="119">
        <v>42478</v>
      </c>
      <c r="D58" t="s">
        <v>1265</v>
      </c>
      <c r="E58" s="120">
        <v>8.6</v>
      </c>
    </row>
    <row r="59" spans="1:8" x14ac:dyDescent="0.25">
      <c r="A59" t="s">
        <v>1246</v>
      </c>
      <c r="B59" s="118">
        <v>1320000</v>
      </c>
      <c r="C59" s="119">
        <v>42478</v>
      </c>
      <c r="D59" t="s">
        <v>1265</v>
      </c>
      <c r="E59" s="120">
        <f>E48</f>
        <v>11.3</v>
      </c>
    </row>
    <row r="60" spans="1:8" x14ac:dyDescent="0.25">
      <c r="A60" t="s">
        <v>16</v>
      </c>
      <c r="B60" s="118">
        <f>876000*2</f>
        <v>1752000</v>
      </c>
      <c r="C60" s="119">
        <v>42402</v>
      </c>
      <c r="D60" t="s">
        <v>1265</v>
      </c>
      <c r="E60" s="120">
        <f>E49</f>
        <v>16.09</v>
      </c>
      <c r="G60" s="101"/>
    </row>
    <row r="61" spans="1:8" x14ac:dyDescent="0.25">
      <c r="A61" t="s">
        <v>1248</v>
      </c>
      <c r="B61" s="118">
        <v>3600000</v>
      </c>
      <c r="C61" s="119">
        <v>42437</v>
      </c>
      <c r="D61" t="s">
        <v>1265</v>
      </c>
      <c r="E61" s="120">
        <f>E51</f>
        <v>28.2</v>
      </c>
    </row>
    <row r="62" spans="1:8" x14ac:dyDescent="0.25">
      <c r="A62" t="s">
        <v>1250</v>
      </c>
      <c r="B62" s="118">
        <v>4770500</v>
      </c>
      <c r="C62" s="119">
        <v>42478</v>
      </c>
      <c r="D62" t="s">
        <v>1265</v>
      </c>
      <c r="E62" s="120">
        <f>E52</f>
        <v>42.6</v>
      </c>
    </row>
    <row r="63" spans="1:8" x14ac:dyDescent="0.25">
      <c r="A63" t="s">
        <v>1239</v>
      </c>
      <c r="B63" s="118">
        <v>14500000</v>
      </c>
      <c r="C63" s="119">
        <v>42696</v>
      </c>
      <c r="D63" t="s">
        <v>1265</v>
      </c>
      <c r="E63" s="124">
        <f>E53</f>
        <v>60.3</v>
      </c>
    </row>
    <row r="64" spans="1:8" x14ac:dyDescent="0.25">
      <c r="A64" s="117" t="s">
        <v>1277</v>
      </c>
      <c r="B64" s="117" t="s">
        <v>1264</v>
      </c>
      <c r="C64" s="117" t="s">
        <v>1226</v>
      </c>
      <c r="D64" s="117" t="s">
        <v>1227</v>
      </c>
      <c r="E64" s="117" t="s">
        <v>1228</v>
      </c>
    </row>
    <row r="65" spans="1:5" x14ac:dyDescent="0.25">
      <c r="A65" t="s">
        <v>1278</v>
      </c>
      <c r="B65" s="118">
        <v>448340</v>
      </c>
      <c r="C65" s="119">
        <v>42503</v>
      </c>
      <c r="D65" t="s">
        <v>1265</v>
      </c>
      <c r="E65" s="120">
        <f>E51</f>
        <v>28.2</v>
      </c>
    </row>
    <row r="66" spans="1:5" x14ac:dyDescent="0.25">
      <c r="A66" t="s">
        <v>1250</v>
      </c>
      <c r="B66" s="118">
        <f>B65*8/6</f>
        <v>597786.66666666663</v>
      </c>
      <c r="C66" s="119" t="s">
        <v>1251</v>
      </c>
      <c r="D66" t="s">
        <v>1265</v>
      </c>
      <c r="E66" s="120">
        <f>E62</f>
        <v>42.6</v>
      </c>
    </row>
    <row r="67" spans="1:5" x14ac:dyDescent="0.25">
      <c r="A67" s="117" t="s">
        <v>1279</v>
      </c>
      <c r="B67" s="117" t="s">
        <v>1280</v>
      </c>
      <c r="C67" s="117" t="s">
        <v>1226</v>
      </c>
      <c r="D67" s="117" t="s">
        <v>1227</v>
      </c>
      <c r="E67" s="117" t="s">
        <v>1281</v>
      </c>
    </row>
    <row r="68" spans="1:5" x14ac:dyDescent="0.25">
      <c r="A68" s="16" t="s">
        <v>1243</v>
      </c>
      <c r="B68" s="122">
        <v>60000</v>
      </c>
      <c r="C68" s="123" t="s">
        <v>1251</v>
      </c>
      <c r="D68" s="16" t="s">
        <v>1265</v>
      </c>
      <c r="E68" s="16">
        <v>1.7</v>
      </c>
    </row>
    <row r="69" spans="1:5" x14ac:dyDescent="0.25">
      <c r="A69" s="16" t="s">
        <v>1268</v>
      </c>
      <c r="B69" s="122">
        <v>65000</v>
      </c>
      <c r="C69" s="123" t="s">
        <v>1251</v>
      </c>
      <c r="D69" s="16" t="s">
        <v>1265</v>
      </c>
      <c r="E69" s="16">
        <v>2</v>
      </c>
    </row>
    <row r="70" spans="1:5" x14ac:dyDescent="0.25">
      <c r="A70" s="16" t="s">
        <v>1282</v>
      </c>
      <c r="B70" s="122">
        <v>80000</v>
      </c>
      <c r="C70" s="119">
        <v>42426</v>
      </c>
      <c r="D70" s="16" t="s">
        <v>1265</v>
      </c>
      <c r="E70" s="16">
        <v>3</v>
      </c>
    </row>
    <row r="71" spans="1:5" x14ac:dyDescent="0.25">
      <c r="A71" s="16" t="s">
        <v>1245</v>
      </c>
      <c r="B71" s="122">
        <v>80000</v>
      </c>
      <c r="C71" s="119">
        <v>42426</v>
      </c>
      <c r="D71" s="16" t="s">
        <v>1265</v>
      </c>
      <c r="E71" s="16">
        <v>3</v>
      </c>
    </row>
    <row r="72" spans="1:5" x14ac:dyDescent="0.25">
      <c r="A72" t="s">
        <v>1246</v>
      </c>
      <c r="B72" s="118">
        <v>98250</v>
      </c>
      <c r="C72" s="119">
        <v>42426</v>
      </c>
      <c r="D72" t="s">
        <v>1265</v>
      </c>
      <c r="E72">
        <v>4.93</v>
      </c>
    </row>
    <row r="73" spans="1:5" x14ac:dyDescent="0.25">
      <c r="A73" t="s">
        <v>16</v>
      </c>
      <c r="B73" s="118">
        <v>148500</v>
      </c>
      <c r="C73" s="119">
        <v>42426</v>
      </c>
      <c r="D73" t="s">
        <v>1265</v>
      </c>
      <c r="E73">
        <v>7</v>
      </c>
    </row>
    <row r="74" spans="1:5" x14ac:dyDescent="0.25">
      <c r="A74" t="s">
        <v>1248</v>
      </c>
      <c r="B74" s="118">
        <v>212000</v>
      </c>
      <c r="C74" s="119">
        <v>42425</v>
      </c>
      <c r="D74" t="s">
        <v>1265</v>
      </c>
      <c r="E74">
        <v>11.3</v>
      </c>
    </row>
    <row r="75" spans="1:5" x14ac:dyDescent="0.25">
      <c r="A75" t="s">
        <v>1250</v>
      </c>
      <c r="B75" s="118">
        <v>310000</v>
      </c>
      <c r="C75" s="119">
        <v>42447</v>
      </c>
      <c r="D75" t="s">
        <v>1265</v>
      </c>
      <c r="E75">
        <v>19.600000000000001</v>
      </c>
    </row>
    <row r="76" spans="1:5" x14ac:dyDescent="0.25">
      <c r="A76" t="s">
        <v>1239</v>
      </c>
      <c r="B76" s="118">
        <v>508000</v>
      </c>
      <c r="C76" s="119">
        <v>42696</v>
      </c>
      <c r="D76" t="s">
        <v>1283</v>
      </c>
      <c r="E76">
        <v>23</v>
      </c>
    </row>
    <row r="77" spans="1:5" x14ac:dyDescent="0.25">
      <c r="A77" s="117" t="s">
        <v>1284</v>
      </c>
      <c r="B77" s="117" t="s">
        <v>1280</v>
      </c>
      <c r="C77" s="117" t="s">
        <v>1226</v>
      </c>
      <c r="D77" s="117" t="s">
        <v>1227</v>
      </c>
      <c r="E77" s="117" t="s">
        <v>1281</v>
      </c>
    </row>
    <row r="78" spans="1:5" x14ac:dyDescent="0.25">
      <c r="A78" t="s">
        <v>19</v>
      </c>
      <c r="B78" s="118">
        <f>75000</f>
        <v>75000</v>
      </c>
      <c r="C78" s="129" t="s">
        <v>1251</v>
      </c>
      <c r="D78" t="s">
        <v>1265</v>
      </c>
      <c r="E78">
        <v>3</v>
      </c>
    </row>
    <row r="79" spans="1:5" x14ac:dyDescent="0.25">
      <c r="A79" t="s">
        <v>1245</v>
      </c>
      <c r="B79" s="118">
        <v>82000</v>
      </c>
      <c r="C79" s="119">
        <v>42430</v>
      </c>
      <c r="D79" t="s">
        <v>1265</v>
      </c>
      <c r="E79">
        <v>3.28</v>
      </c>
    </row>
    <row r="80" spans="1:5" x14ac:dyDescent="0.25">
      <c r="A80" t="s">
        <v>1246</v>
      </c>
      <c r="B80" s="118">
        <v>78000</v>
      </c>
      <c r="C80" s="119">
        <v>42426</v>
      </c>
      <c r="D80" t="s">
        <v>1265</v>
      </c>
      <c r="E80">
        <v>3.85</v>
      </c>
    </row>
    <row r="81" spans="1:5" x14ac:dyDescent="0.25">
      <c r="A81" t="s">
        <v>16</v>
      </c>
      <c r="B81" s="118">
        <v>115000</v>
      </c>
      <c r="C81" s="119">
        <v>42426</v>
      </c>
      <c r="D81" t="s">
        <v>1265</v>
      </c>
      <c r="E81">
        <v>5.3</v>
      </c>
    </row>
    <row r="82" spans="1:5" x14ac:dyDescent="0.25">
      <c r="A82" t="s">
        <v>1272</v>
      </c>
      <c r="B82" s="118">
        <v>130000</v>
      </c>
      <c r="C82" s="119">
        <v>42753</v>
      </c>
      <c r="D82" t="s">
        <v>1265</v>
      </c>
      <c r="E82">
        <v>9.5</v>
      </c>
    </row>
    <row r="83" spans="1:5" x14ac:dyDescent="0.25">
      <c r="A83" t="s">
        <v>1248</v>
      </c>
      <c r="B83" s="118">
        <v>116100</v>
      </c>
      <c r="C83" s="119">
        <v>42656</v>
      </c>
      <c r="D83" t="s">
        <v>1283</v>
      </c>
      <c r="E83">
        <v>11.3</v>
      </c>
    </row>
    <row r="84" spans="1:5" x14ac:dyDescent="0.25">
      <c r="A84" t="s">
        <v>1250</v>
      </c>
      <c r="B84" s="118">
        <v>310000</v>
      </c>
      <c r="C84" s="119">
        <v>42447</v>
      </c>
      <c r="D84" t="s">
        <v>1265</v>
      </c>
      <c r="E84">
        <v>12.1</v>
      </c>
    </row>
    <row r="85" spans="1:5" x14ac:dyDescent="0.25">
      <c r="A85" t="s">
        <v>1239</v>
      </c>
      <c r="B85" s="118">
        <v>350000</v>
      </c>
      <c r="C85" s="119">
        <v>42696</v>
      </c>
      <c r="D85" t="s">
        <v>1236</v>
      </c>
      <c r="E85">
        <v>14</v>
      </c>
    </row>
    <row r="86" spans="1:5" x14ac:dyDescent="0.25">
      <c r="A86" s="117" t="s">
        <v>1285</v>
      </c>
      <c r="B86" s="117" t="s">
        <v>1280</v>
      </c>
      <c r="C86" s="117" t="s">
        <v>1226</v>
      </c>
      <c r="D86" s="117" t="s">
        <v>1227</v>
      </c>
      <c r="E86" s="117" t="s">
        <v>1281</v>
      </c>
    </row>
    <row r="87" spans="1:5" x14ac:dyDescent="0.25">
      <c r="A87" t="s">
        <v>1268</v>
      </c>
      <c r="B87" s="118">
        <v>80000</v>
      </c>
      <c r="C87" s="129" t="s">
        <v>1286</v>
      </c>
      <c r="D87" t="s">
        <v>1265</v>
      </c>
      <c r="E87">
        <v>2</v>
      </c>
    </row>
    <row r="88" spans="1:5" x14ac:dyDescent="0.25">
      <c r="A88" t="s">
        <v>19</v>
      </c>
      <c r="B88" s="118">
        <v>120000</v>
      </c>
      <c r="C88" s="129" t="s">
        <v>1251</v>
      </c>
      <c r="D88" t="s">
        <v>1265</v>
      </c>
      <c r="E88">
        <v>3</v>
      </c>
    </row>
    <row r="89" spans="1:5" x14ac:dyDescent="0.25">
      <c r="A89" t="s">
        <v>1245</v>
      </c>
      <c r="B89" s="118">
        <v>130000</v>
      </c>
      <c r="C89" s="129" t="s">
        <v>1251</v>
      </c>
      <c r="D89" t="s">
        <v>1265</v>
      </c>
      <c r="E89">
        <v>3.28</v>
      </c>
    </row>
    <row r="90" spans="1:5" x14ac:dyDescent="0.25">
      <c r="A90" t="s">
        <v>1246</v>
      </c>
      <c r="B90" s="118">
        <f>190000*1.1</f>
        <v>209000.00000000003</v>
      </c>
      <c r="C90" s="119">
        <v>42639</v>
      </c>
      <c r="D90" t="s">
        <v>1287</v>
      </c>
      <c r="E90">
        <v>4.93</v>
      </c>
    </row>
    <row r="91" spans="1:5" x14ac:dyDescent="0.25">
      <c r="A91" t="s">
        <v>16</v>
      </c>
      <c r="B91" s="118">
        <f>296000*1.1</f>
        <v>325600</v>
      </c>
      <c r="C91" s="119">
        <v>42639</v>
      </c>
      <c r="D91" t="s">
        <v>1287</v>
      </c>
      <c r="E91">
        <v>6.8</v>
      </c>
    </row>
    <row r="92" spans="1:5" x14ac:dyDescent="0.25">
      <c r="A92" t="s">
        <v>1248</v>
      </c>
      <c r="B92" s="118">
        <v>330000</v>
      </c>
      <c r="C92" s="119">
        <v>42437</v>
      </c>
      <c r="D92" t="s">
        <v>1265</v>
      </c>
      <c r="E92">
        <v>11.3</v>
      </c>
    </row>
    <row r="93" spans="1:5" x14ac:dyDescent="0.25">
      <c r="A93" t="s">
        <v>1250</v>
      </c>
      <c r="B93" s="118">
        <v>480000</v>
      </c>
      <c r="C93" s="119">
        <v>42437</v>
      </c>
      <c r="D93" t="s">
        <v>1265</v>
      </c>
      <c r="E93">
        <f>15</f>
        <v>15</v>
      </c>
    </row>
    <row r="94" spans="1:5" x14ac:dyDescent="0.25">
      <c r="A94" t="s">
        <v>1239</v>
      </c>
      <c r="B94" s="118">
        <v>871500</v>
      </c>
      <c r="C94" s="119">
        <v>42696</v>
      </c>
      <c r="D94" t="s">
        <v>1265</v>
      </c>
      <c r="E94">
        <v>23</v>
      </c>
    </row>
    <row r="95" spans="1:5" x14ac:dyDescent="0.25">
      <c r="A95" s="117" t="s">
        <v>1288</v>
      </c>
      <c r="B95" s="117" t="s">
        <v>1280</v>
      </c>
      <c r="C95" s="117" t="s">
        <v>1226</v>
      </c>
      <c r="D95" s="117" t="s">
        <v>1227</v>
      </c>
      <c r="E95" s="117" t="s">
        <v>1281</v>
      </c>
    </row>
    <row r="96" spans="1:5" x14ac:dyDescent="0.25">
      <c r="A96" s="130" t="s">
        <v>1268</v>
      </c>
      <c r="B96" s="118">
        <v>45000</v>
      </c>
      <c r="C96" s="119">
        <v>42878</v>
      </c>
      <c r="D96" t="s">
        <v>1267</v>
      </c>
      <c r="E96">
        <v>2</v>
      </c>
    </row>
    <row r="97" spans="1:5" x14ac:dyDescent="0.25">
      <c r="A97" s="130" t="s">
        <v>1245</v>
      </c>
      <c r="B97" s="118">
        <v>99000</v>
      </c>
      <c r="C97" s="119">
        <v>42444</v>
      </c>
      <c r="D97" t="s">
        <v>1236</v>
      </c>
      <c r="E97">
        <v>3.28</v>
      </c>
    </row>
    <row r="98" spans="1:5" x14ac:dyDescent="0.25">
      <c r="A98" t="s">
        <v>1246</v>
      </c>
      <c r="B98" s="118">
        <f>169400*1.1</f>
        <v>186340.00000000003</v>
      </c>
      <c r="C98" s="119">
        <v>42640</v>
      </c>
      <c r="D98" t="s">
        <v>1287</v>
      </c>
      <c r="E98">
        <v>3.85</v>
      </c>
    </row>
    <row r="99" spans="1:5" x14ac:dyDescent="0.25">
      <c r="A99" t="s">
        <v>16</v>
      </c>
      <c r="B99" s="118">
        <f>247000*1.1</f>
        <v>271700</v>
      </c>
      <c r="C99" s="119">
        <v>42640</v>
      </c>
      <c r="D99" t="s">
        <v>1287</v>
      </c>
      <c r="E99">
        <v>6.2</v>
      </c>
    </row>
    <row r="100" spans="1:5" x14ac:dyDescent="0.25">
      <c r="A100" t="s">
        <v>1248</v>
      </c>
      <c r="B100" s="118">
        <v>240000</v>
      </c>
      <c r="C100" s="119">
        <v>42437</v>
      </c>
      <c r="D100" t="s">
        <v>1265</v>
      </c>
      <c r="E100">
        <v>7.45</v>
      </c>
    </row>
    <row r="101" spans="1:5" x14ac:dyDescent="0.25">
      <c r="A101" t="s">
        <v>1239</v>
      </c>
      <c r="B101" s="118">
        <v>489962</v>
      </c>
      <c r="C101" s="119">
        <v>42696</v>
      </c>
      <c r="D101" t="s">
        <v>1265</v>
      </c>
      <c r="E101">
        <v>14</v>
      </c>
    </row>
    <row r="102" spans="1:5" x14ac:dyDescent="0.25">
      <c r="A102" s="117" t="s">
        <v>1289</v>
      </c>
      <c r="B102" s="117" t="s">
        <v>1280</v>
      </c>
      <c r="C102" s="117" t="s">
        <v>1226</v>
      </c>
      <c r="D102" s="117" t="s">
        <v>1227</v>
      </c>
      <c r="E102" s="117" t="s">
        <v>1281</v>
      </c>
    </row>
    <row r="103" spans="1:5" x14ac:dyDescent="0.25">
      <c r="A103" t="s">
        <v>1278</v>
      </c>
      <c r="B103" s="118">
        <v>62500</v>
      </c>
      <c r="C103" s="119">
        <v>42459</v>
      </c>
      <c r="D103" t="s">
        <v>1265</v>
      </c>
      <c r="E103">
        <v>11.3</v>
      </c>
    </row>
    <row r="104" spans="1:5" x14ac:dyDescent="0.25">
      <c r="A104" t="s">
        <v>1250</v>
      </c>
      <c r="B104" s="118">
        <f>B103*8/6</f>
        <v>83333.333333333328</v>
      </c>
      <c r="C104" s="119" t="s">
        <v>1251</v>
      </c>
      <c r="D104" t="s">
        <v>1265</v>
      </c>
    </row>
    <row r="105" spans="1:5" x14ac:dyDescent="0.25">
      <c r="A105" s="117" t="s">
        <v>72</v>
      </c>
      <c r="B105" s="117" t="s">
        <v>1280</v>
      </c>
      <c r="C105" s="117" t="s">
        <v>1226</v>
      </c>
      <c r="D105" s="117" t="s">
        <v>1227</v>
      </c>
      <c r="E105" s="117" t="s">
        <v>1281</v>
      </c>
    </row>
    <row r="106" spans="1:5" x14ac:dyDescent="0.25">
      <c r="A106" t="s">
        <v>1290</v>
      </c>
      <c r="B106" s="118">
        <v>80000</v>
      </c>
      <c r="C106" s="129" t="s">
        <v>1242</v>
      </c>
      <c r="D106" t="s">
        <v>1291</v>
      </c>
      <c r="E106" s="120">
        <f>0.15*0.15*25.4/4000*7850</f>
        <v>1.1215687499999998</v>
      </c>
    </row>
    <row r="107" spans="1:5" x14ac:dyDescent="0.25">
      <c r="A107" t="s">
        <v>1292</v>
      </c>
      <c r="B107" s="118">
        <v>130000</v>
      </c>
      <c r="C107" s="119">
        <v>42430</v>
      </c>
      <c r="D107" t="s">
        <v>1293</v>
      </c>
      <c r="E107" s="120">
        <f>0.25*0.25*25.4/8000*7850</f>
        <v>1.5577343749999999</v>
      </c>
    </row>
    <row r="108" spans="1:5" x14ac:dyDescent="0.25">
      <c r="A108" t="s">
        <v>1294</v>
      </c>
      <c r="B108" s="118">
        <v>88000</v>
      </c>
      <c r="C108" s="119">
        <v>43441</v>
      </c>
      <c r="D108" t="s">
        <v>1295</v>
      </c>
      <c r="E108" s="120">
        <v>3</v>
      </c>
    </row>
    <row r="109" spans="1:5" x14ac:dyDescent="0.25">
      <c r="A109" t="s">
        <v>1296</v>
      </c>
      <c r="B109" s="88">
        <v>68000</v>
      </c>
      <c r="C109" s="127">
        <v>42433</v>
      </c>
      <c r="D109" s="16" t="s">
        <v>1291</v>
      </c>
      <c r="E109" s="120">
        <f>0.21*0.21*25.4/8000*7850</f>
        <v>1.0991373749999998</v>
      </c>
    </row>
    <row r="110" spans="1:5" x14ac:dyDescent="0.25">
      <c r="A110" t="s">
        <v>1297</v>
      </c>
      <c r="B110" s="118">
        <v>115000</v>
      </c>
      <c r="C110" s="119">
        <v>42433</v>
      </c>
      <c r="D110" t="s">
        <v>1291</v>
      </c>
      <c r="E110" s="120">
        <f>0.35*0.35*25.4/8000*7850</f>
        <v>3.0531593749999999</v>
      </c>
    </row>
    <row r="111" spans="1:5" x14ac:dyDescent="0.25">
      <c r="A111" t="s">
        <v>1298</v>
      </c>
      <c r="B111" s="118">
        <v>90000</v>
      </c>
      <c r="C111" s="119">
        <v>42433</v>
      </c>
      <c r="D111" t="s">
        <v>1291</v>
      </c>
      <c r="E111" s="120">
        <f>0.17*0.17*25.4/4000*7850</f>
        <v>1.44059275</v>
      </c>
    </row>
    <row r="112" spans="1:5" x14ac:dyDescent="0.25">
      <c r="A112" t="s">
        <v>1299</v>
      </c>
      <c r="B112" s="118">
        <v>96000</v>
      </c>
      <c r="C112" s="119">
        <v>42433</v>
      </c>
      <c r="D112" t="s">
        <v>1291</v>
      </c>
      <c r="E112" s="120">
        <f>0.21*0.21*25.4/4000*7850</f>
        <v>2.1982747499999995</v>
      </c>
    </row>
    <row r="113" spans="1:5" x14ac:dyDescent="0.25">
      <c r="A113" t="s">
        <v>1300</v>
      </c>
      <c r="B113" s="118">
        <v>100000</v>
      </c>
      <c r="C113" s="119">
        <v>42433</v>
      </c>
      <c r="D113" t="s">
        <v>1291</v>
      </c>
      <c r="E113" s="120">
        <f>0.25*0.25*25.4/4000*7850</f>
        <v>3.1154687499999998</v>
      </c>
    </row>
    <row r="114" spans="1:5" x14ac:dyDescent="0.25">
      <c r="A114" t="s">
        <v>1301</v>
      </c>
      <c r="B114" s="118">
        <v>160000</v>
      </c>
      <c r="C114" s="119">
        <v>42975</v>
      </c>
      <c r="D114" t="s">
        <v>1295</v>
      </c>
      <c r="E114" s="120">
        <v>4.5</v>
      </c>
    </row>
    <row r="115" spans="1:5" x14ac:dyDescent="0.25">
      <c r="A115" t="s">
        <v>1302</v>
      </c>
      <c r="B115" s="118">
        <v>110000</v>
      </c>
      <c r="C115" s="119">
        <v>42983</v>
      </c>
      <c r="D115" t="s">
        <v>1295</v>
      </c>
      <c r="E115" s="120">
        <v>4.5</v>
      </c>
    </row>
    <row r="116" spans="1:5" x14ac:dyDescent="0.25">
      <c r="A116" t="s">
        <v>1303</v>
      </c>
      <c r="B116" s="118">
        <v>110000</v>
      </c>
      <c r="C116" s="119">
        <v>42433</v>
      </c>
      <c r="D116" t="s">
        <v>1291</v>
      </c>
      <c r="E116" s="120">
        <f>0.3*0.3*25.4/4000*7850</f>
        <v>4.4862749999999991</v>
      </c>
    </row>
    <row r="117" spans="1:5" x14ac:dyDescent="0.25">
      <c r="A117" t="s">
        <v>1304</v>
      </c>
      <c r="B117" s="118">
        <v>115000</v>
      </c>
      <c r="C117" s="119">
        <v>42433</v>
      </c>
      <c r="D117" t="s">
        <v>1291</v>
      </c>
      <c r="E117" s="120">
        <f>0.35*0.35*25.4/4000*7850</f>
        <v>6.1063187499999998</v>
      </c>
    </row>
    <row r="118" spans="1:5" x14ac:dyDescent="0.25">
      <c r="A118" t="s">
        <v>1305</v>
      </c>
      <c r="B118" s="118">
        <v>160000</v>
      </c>
      <c r="C118" s="119">
        <v>42433</v>
      </c>
      <c r="D118" t="s">
        <v>1291</v>
      </c>
      <c r="E118" s="120">
        <f>0.35*0.35*25.4*3/8000*7850</f>
        <v>9.1594781249999997</v>
      </c>
    </row>
    <row r="119" spans="1:5" x14ac:dyDescent="0.25">
      <c r="A119" t="s">
        <v>1306</v>
      </c>
      <c r="B119" s="118">
        <v>133000</v>
      </c>
      <c r="C119" s="119">
        <v>43441</v>
      </c>
      <c r="D119" t="s">
        <v>1295</v>
      </c>
      <c r="E119" s="120">
        <v>100</v>
      </c>
    </row>
    <row r="120" spans="1:5" x14ac:dyDescent="0.25">
      <c r="A120" t="s">
        <v>1307</v>
      </c>
      <c r="B120" s="118">
        <v>200000</v>
      </c>
      <c r="C120" s="119">
        <v>42433</v>
      </c>
      <c r="D120" t="s">
        <v>1291</v>
      </c>
      <c r="E120" s="120">
        <f>0.4*0.4*25.4*3/8000*7850</f>
        <v>11.963400000000004</v>
      </c>
    </row>
    <row r="121" spans="1:5" x14ac:dyDescent="0.25">
      <c r="A121" t="s">
        <v>1308</v>
      </c>
      <c r="B121" s="118">
        <v>400000</v>
      </c>
      <c r="C121" s="129" t="s">
        <v>1251</v>
      </c>
      <c r="E121" s="120">
        <v>24</v>
      </c>
    </row>
    <row r="122" spans="1:5" x14ac:dyDescent="0.25">
      <c r="A122" t="s">
        <v>1309</v>
      </c>
      <c r="B122" s="118">
        <v>295000</v>
      </c>
      <c r="C122" s="119">
        <v>42388</v>
      </c>
      <c r="D122" t="s">
        <v>1291</v>
      </c>
      <c r="E122" s="120">
        <f>0.5*0.5*25.4*3/4000*7850</f>
        <v>37.385624999999997</v>
      </c>
    </row>
    <row r="123" spans="1:5" x14ac:dyDescent="0.25">
      <c r="A123" t="s">
        <v>1310</v>
      </c>
      <c r="B123" s="118">
        <v>390000</v>
      </c>
      <c r="C123" s="119">
        <v>42388</v>
      </c>
      <c r="D123" t="s">
        <v>1291</v>
      </c>
      <c r="E123" s="120">
        <f>0.6*0.6*25.4*3/4000*7850</f>
        <v>53.835299999999989</v>
      </c>
    </row>
    <row r="124" spans="1:5" x14ac:dyDescent="0.25">
      <c r="A124" t="s">
        <v>1311</v>
      </c>
      <c r="B124" s="118">
        <v>390000</v>
      </c>
      <c r="C124" s="119">
        <v>42388</v>
      </c>
      <c r="D124" t="s">
        <v>1291</v>
      </c>
      <c r="E124" s="120">
        <f>0.6*0.6*25.4/1000*7850</f>
        <v>71.780399999999986</v>
      </c>
    </row>
    <row r="125" spans="1:5" x14ac:dyDescent="0.25">
      <c r="A125" t="s">
        <v>1312</v>
      </c>
      <c r="B125" s="118">
        <v>580000</v>
      </c>
      <c r="C125" s="119">
        <v>42388</v>
      </c>
      <c r="D125" t="s">
        <v>1291</v>
      </c>
      <c r="E125" s="120">
        <f>0.6*0.6*25.4*2/1000*7850</f>
        <v>143.56079999999997</v>
      </c>
    </row>
    <row r="126" spans="1:5" x14ac:dyDescent="0.25">
      <c r="A126" s="117" t="s">
        <v>1313</v>
      </c>
      <c r="B126" s="117" t="s">
        <v>1280</v>
      </c>
      <c r="C126" s="117" t="s">
        <v>1226</v>
      </c>
      <c r="D126" s="117" t="s">
        <v>1227</v>
      </c>
      <c r="E126" s="117" t="s">
        <v>1281</v>
      </c>
    </row>
    <row r="127" spans="1:5" s="16" customFormat="1" x14ac:dyDescent="0.25">
      <c r="A127" s="16" t="s">
        <v>1314</v>
      </c>
      <c r="B127" s="88">
        <v>110000</v>
      </c>
      <c r="C127" s="16">
        <v>2015</v>
      </c>
      <c r="D127" s="16" t="s">
        <v>1230</v>
      </c>
      <c r="E127" s="16">
        <v>0.9</v>
      </c>
    </row>
    <row r="128" spans="1:5" x14ac:dyDescent="0.25">
      <c r="A128" t="s">
        <v>1315</v>
      </c>
      <c r="B128" s="118">
        <v>120000</v>
      </c>
      <c r="C128" s="16">
        <v>2015</v>
      </c>
      <c r="D128" s="16" t="s">
        <v>1230</v>
      </c>
      <c r="E128">
        <v>0.97</v>
      </c>
    </row>
    <row r="129" spans="1:5" x14ac:dyDescent="0.25">
      <c r="A129" t="s">
        <v>1316</v>
      </c>
      <c r="B129" s="118">
        <v>130000</v>
      </c>
      <c r="C129" s="16">
        <v>2015</v>
      </c>
      <c r="D129" s="16" t="s">
        <v>1230</v>
      </c>
      <c r="E129">
        <v>2.5</v>
      </c>
    </row>
    <row r="130" spans="1:5" x14ac:dyDescent="0.25">
      <c r="A130" t="s">
        <v>1317</v>
      </c>
      <c r="B130" s="118">
        <v>130000</v>
      </c>
      <c r="C130" s="16">
        <v>2015</v>
      </c>
      <c r="D130" s="16" t="s">
        <v>1230</v>
      </c>
      <c r="E130">
        <v>2.91</v>
      </c>
    </row>
    <row r="131" spans="1:5" x14ac:dyDescent="0.25">
      <c r="A131" t="s">
        <v>1318</v>
      </c>
      <c r="B131" s="118">
        <v>150000</v>
      </c>
      <c r="C131" s="16">
        <v>2015</v>
      </c>
      <c r="D131" s="16" t="s">
        <v>1230</v>
      </c>
      <c r="E131">
        <v>4</v>
      </c>
    </row>
    <row r="132" spans="1:5" x14ac:dyDescent="0.25">
      <c r="A132" t="s">
        <v>1319</v>
      </c>
      <c r="B132" s="88">
        <v>170000</v>
      </c>
      <c r="C132" s="16">
        <v>2015</v>
      </c>
      <c r="D132" s="16" t="s">
        <v>1230</v>
      </c>
      <c r="E132">
        <v>4.08</v>
      </c>
    </row>
    <row r="133" spans="1:5" x14ac:dyDescent="0.25">
      <c r="A133" t="s">
        <v>1320</v>
      </c>
      <c r="B133" s="88">
        <v>230000</v>
      </c>
      <c r="C133" s="16">
        <v>2015</v>
      </c>
      <c r="D133" s="16" t="s">
        <v>1230</v>
      </c>
      <c r="E133">
        <v>16.63</v>
      </c>
    </row>
    <row r="134" spans="1:5" x14ac:dyDescent="0.25">
      <c r="A134" t="s">
        <v>1321</v>
      </c>
      <c r="B134" s="88">
        <v>260000</v>
      </c>
      <c r="C134" s="16">
        <v>2015</v>
      </c>
      <c r="D134" s="16" t="s">
        <v>1230</v>
      </c>
      <c r="E134">
        <v>24</v>
      </c>
    </row>
    <row r="135" spans="1:5" x14ac:dyDescent="0.25">
      <c r="A135" t="s">
        <v>1322</v>
      </c>
      <c r="B135" s="88">
        <v>310000</v>
      </c>
      <c r="C135" s="16">
        <v>2015</v>
      </c>
      <c r="D135" s="16" t="s">
        <v>1230</v>
      </c>
      <c r="E135">
        <v>24</v>
      </c>
    </row>
    <row r="136" spans="1:5" x14ac:dyDescent="0.25">
      <c r="A136" t="s">
        <v>1323</v>
      </c>
      <c r="B136" s="88">
        <v>320000</v>
      </c>
      <c r="C136" s="16">
        <v>2015</v>
      </c>
      <c r="D136" s="16" t="s">
        <v>1230</v>
      </c>
      <c r="E136">
        <f>E134*1000/800</f>
        <v>30</v>
      </c>
    </row>
    <row r="137" spans="1:5" x14ac:dyDescent="0.25">
      <c r="A137" t="s">
        <v>1324</v>
      </c>
      <c r="B137" s="88">
        <f>B128*1.3</f>
        <v>156000</v>
      </c>
      <c r="C137" s="16">
        <v>2015</v>
      </c>
      <c r="D137" s="16" t="s">
        <v>1230</v>
      </c>
      <c r="E137">
        <v>0.97</v>
      </c>
    </row>
    <row r="138" spans="1:5" x14ac:dyDescent="0.25">
      <c r="A138" t="s">
        <v>1325</v>
      </c>
      <c r="B138" s="88">
        <f>1.3*B130</f>
        <v>169000</v>
      </c>
      <c r="C138" s="16">
        <v>2015</v>
      </c>
      <c r="D138" s="16" t="s">
        <v>1230</v>
      </c>
      <c r="E138">
        <v>2.91</v>
      </c>
    </row>
    <row r="139" spans="1:5" x14ac:dyDescent="0.25">
      <c r="A139" t="s">
        <v>1326</v>
      </c>
      <c r="B139" s="88">
        <f>B131*1.3</f>
        <v>195000</v>
      </c>
      <c r="C139" s="16">
        <v>2015</v>
      </c>
      <c r="D139" s="16" t="s">
        <v>1230</v>
      </c>
      <c r="E139">
        <v>4</v>
      </c>
    </row>
    <row r="140" spans="1:5" x14ac:dyDescent="0.25">
      <c r="A140" t="s">
        <v>1327</v>
      </c>
      <c r="B140" s="88">
        <f>+B132*1.3</f>
        <v>221000</v>
      </c>
      <c r="C140" s="16">
        <v>2015</v>
      </c>
      <c r="D140" s="16" t="s">
        <v>1230</v>
      </c>
      <c r="E140">
        <v>4.08</v>
      </c>
    </row>
    <row r="141" spans="1:5" x14ac:dyDescent="0.25">
      <c r="A141" t="s">
        <v>1328</v>
      </c>
      <c r="B141" s="88">
        <f>B133*1.3</f>
        <v>299000</v>
      </c>
      <c r="C141" s="16">
        <v>2015</v>
      </c>
      <c r="D141" s="16" t="s">
        <v>1230</v>
      </c>
      <c r="E141">
        <v>8</v>
      </c>
    </row>
    <row r="142" spans="1:5" x14ac:dyDescent="0.25">
      <c r="A142" t="s">
        <v>1329</v>
      </c>
      <c r="B142" s="88">
        <f>B134*1.3</f>
        <v>338000</v>
      </c>
      <c r="C142" s="16">
        <v>2015</v>
      </c>
      <c r="D142" s="16" t="s">
        <v>1230</v>
      </c>
      <c r="E142">
        <v>12</v>
      </c>
    </row>
    <row r="143" spans="1:5" x14ac:dyDescent="0.25">
      <c r="A143" t="s">
        <v>1330</v>
      </c>
      <c r="B143" s="88">
        <f>B135*1.3</f>
        <v>403000</v>
      </c>
      <c r="C143" s="16">
        <v>2015</v>
      </c>
      <c r="D143" s="16" t="s">
        <v>1230</v>
      </c>
      <c r="E143">
        <v>24</v>
      </c>
    </row>
    <row r="144" spans="1:5" x14ac:dyDescent="0.25">
      <c r="A144" t="s">
        <v>1331</v>
      </c>
      <c r="B144" s="88">
        <v>405000</v>
      </c>
      <c r="C144" s="16">
        <v>2015</v>
      </c>
      <c r="D144" s="16" t="s">
        <v>1230</v>
      </c>
      <c r="E144">
        <v>30</v>
      </c>
    </row>
    <row r="145" spans="1:5" x14ac:dyDescent="0.25">
      <c r="A145" t="s">
        <v>1332</v>
      </c>
      <c r="B145" s="88">
        <v>410000</v>
      </c>
      <c r="C145" s="16">
        <v>2015</v>
      </c>
      <c r="D145" s="16" t="s">
        <v>1230</v>
      </c>
      <c r="E145">
        <v>18</v>
      </c>
    </row>
    <row r="146" spans="1:5" x14ac:dyDescent="0.25">
      <c r="A146" t="s">
        <v>1333</v>
      </c>
      <c r="B146" s="88">
        <v>95000</v>
      </c>
      <c r="C146" s="16">
        <v>2015</v>
      </c>
      <c r="D146" s="16" t="s">
        <v>1230</v>
      </c>
      <c r="E146">
        <v>0.9</v>
      </c>
    </row>
    <row r="147" spans="1:5" x14ac:dyDescent="0.25">
      <c r="A147" t="s">
        <v>1334</v>
      </c>
      <c r="B147" s="88">
        <v>105000</v>
      </c>
      <c r="C147" s="16">
        <v>2015</v>
      </c>
      <c r="D147" s="16" t="s">
        <v>1230</v>
      </c>
      <c r="E147">
        <v>1.6</v>
      </c>
    </row>
    <row r="148" spans="1:5" x14ac:dyDescent="0.25">
      <c r="A148" t="s">
        <v>1335</v>
      </c>
      <c r="B148" s="88">
        <v>120000</v>
      </c>
      <c r="C148" s="16">
        <v>2015</v>
      </c>
      <c r="D148" s="16" t="s">
        <v>1230</v>
      </c>
      <c r="E148">
        <v>3.2</v>
      </c>
    </row>
    <row r="149" spans="1:5" x14ac:dyDescent="0.25">
      <c r="A149" t="s">
        <v>1336</v>
      </c>
      <c r="B149" s="88">
        <v>150000</v>
      </c>
      <c r="C149" s="16">
        <v>2015</v>
      </c>
      <c r="D149" s="16" t="s">
        <v>1230</v>
      </c>
      <c r="E149">
        <v>4.8</v>
      </c>
    </row>
    <row r="150" spans="1:5" x14ac:dyDescent="0.25">
      <c r="A150" t="s">
        <v>1337</v>
      </c>
      <c r="B150" s="88">
        <v>180000</v>
      </c>
      <c r="C150" s="16">
        <v>2015</v>
      </c>
      <c r="D150" s="16" t="s">
        <v>1230</v>
      </c>
      <c r="E150">
        <v>5.5</v>
      </c>
    </row>
    <row r="151" spans="1:5" x14ac:dyDescent="0.25">
      <c r="A151" t="s">
        <v>1338</v>
      </c>
      <c r="B151" s="88">
        <v>205000</v>
      </c>
      <c r="C151" s="16">
        <v>2015</v>
      </c>
      <c r="D151" s="16" t="s">
        <v>1230</v>
      </c>
      <c r="E151">
        <v>9.8000000000000007</v>
      </c>
    </row>
    <row r="152" spans="1:5" x14ac:dyDescent="0.25">
      <c r="A152" t="s">
        <v>1339</v>
      </c>
      <c r="B152" s="88">
        <v>230000</v>
      </c>
      <c r="C152" s="16">
        <v>2015</v>
      </c>
      <c r="D152" s="16" t="s">
        <v>1230</v>
      </c>
      <c r="E152">
        <v>11.3</v>
      </c>
    </row>
    <row r="153" spans="1:5" x14ac:dyDescent="0.25">
      <c r="A153" t="s">
        <v>1340</v>
      </c>
      <c r="B153" s="88">
        <v>350000</v>
      </c>
      <c r="C153" s="16">
        <v>2015</v>
      </c>
      <c r="D153" s="16" t="s">
        <v>1230</v>
      </c>
      <c r="E153">
        <v>22.5</v>
      </c>
    </row>
    <row r="154" spans="1:5" x14ac:dyDescent="0.25">
      <c r="A154" t="s">
        <v>1341</v>
      </c>
      <c r="B154" s="131">
        <v>850000</v>
      </c>
      <c r="C154" s="123" t="s">
        <v>1251</v>
      </c>
      <c r="D154" s="16" t="s">
        <v>1230</v>
      </c>
      <c r="E154">
        <v>28.5</v>
      </c>
    </row>
    <row r="155" spans="1:5" x14ac:dyDescent="0.25">
      <c r="A155" t="s">
        <v>1342</v>
      </c>
      <c r="B155" s="131">
        <v>1100000</v>
      </c>
      <c r="C155" s="123" t="s">
        <v>1251</v>
      </c>
      <c r="D155" s="16" t="s">
        <v>1230</v>
      </c>
      <c r="E155">
        <v>42</v>
      </c>
    </row>
    <row r="156" spans="1:5" x14ac:dyDescent="0.25">
      <c r="A156" t="s">
        <v>1343</v>
      </c>
      <c r="B156" s="131">
        <v>1300000</v>
      </c>
      <c r="C156" s="123" t="s">
        <v>1251</v>
      </c>
      <c r="D156" s="16" t="s">
        <v>1230</v>
      </c>
      <c r="E156">
        <v>42</v>
      </c>
    </row>
    <row r="157" spans="1:5" x14ac:dyDescent="0.25">
      <c r="A157" t="s">
        <v>1344</v>
      </c>
      <c r="B157" s="131">
        <v>1380000</v>
      </c>
      <c r="C157" s="123" t="s">
        <v>1251</v>
      </c>
      <c r="D157" s="16" t="s">
        <v>1230</v>
      </c>
      <c r="E157">
        <v>54</v>
      </c>
    </row>
    <row r="158" spans="1:5" x14ac:dyDescent="0.25">
      <c r="A158" t="s">
        <v>1345</v>
      </c>
      <c r="B158" s="131">
        <v>2200000</v>
      </c>
      <c r="C158" s="123" t="s">
        <v>1251</v>
      </c>
      <c r="D158" s="16" t="s">
        <v>1230</v>
      </c>
      <c r="E158">
        <v>124</v>
      </c>
    </row>
    <row r="159" spans="1:5" x14ac:dyDescent="0.25">
      <c r="A159" t="s">
        <v>1346</v>
      </c>
      <c r="B159" s="131">
        <v>2560000</v>
      </c>
      <c r="C159" s="123" t="s">
        <v>1251</v>
      </c>
      <c r="D159" s="16" t="s">
        <v>1230</v>
      </c>
      <c r="E159">
        <v>235</v>
      </c>
    </row>
    <row r="160" spans="1:5" x14ac:dyDescent="0.25">
      <c r="A160" t="s">
        <v>1347</v>
      </c>
      <c r="B160" s="118">
        <f t="shared" ref="B160:B166" si="0">B146*1.4</f>
        <v>133000</v>
      </c>
      <c r="C160" s="16">
        <v>2015</v>
      </c>
      <c r="D160" s="16" t="s">
        <v>1230</v>
      </c>
      <c r="E160">
        <v>0.9</v>
      </c>
    </row>
    <row r="161" spans="1:5" x14ac:dyDescent="0.25">
      <c r="A161" t="s">
        <v>1348</v>
      </c>
      <c r="B161" s="118">
        <f t="shared" si="0"/>
        <v>147000</v>
      </c>
      <c r="C161" s="16">
        <v>2015</v>
      </c>
      <c r="D161" s="16" t="s">
        <v>1230</v>
      </c>
      <c r="E161">
        <v>1.6</v>
      </c>
    </row>
    <row r="162" spans="1:5" x14ac:dyDescent="0.25">
      <c r="A162" t="s">
        <v>1349</v>
      </c>
      <c r="B162" s="118">
        <f t="shared" si="0"/>
        <v>168000</v>
      </c>
      <c r="C162" s="16">
        <v>2015</v>
      </c>
      <c r="D162" s="16" t="s">
        <v>1230</v>
      </c>
      <c r="E162">
        <v>3.2</v>
      </c>
    </row>
    <row r="163" spans="1:5" x14ac:dyDescent="0.25">
      <c r="A163" t="s">
        <v>1350</v>
      </c>
      <c r="B163" s="118">
        <f t="shared" si="0"/>
        <v>210000</v>
      </c>
      <c r="C163" s="16">
        <v>2015</v>
      </c>
      <c r="D163" s="16" t="s">
        <v>1230</v>
      </c>
      <c r="E163">
        <v>4.8</v>
      </c>
    </row>
    <row r="164" spans="1:5" x14ac:dyDescent="0.25">
      <c r="A164" t="s">
        <v>1351</v>
      </c>
      <c r="B164" s="118">
        <f t="shared" si="0"/>
        <v>251999.99999999997</v>
      </c>
      <c r="C164" s="16">
        <v>2015</v>
      </c>
      <c r="D164" s="16" t="s">
        <v>1230</v>
      </c>
      <c r="E164">
        <v>5.5</v>
      </c>
    </row>
    <row r="165" spans="1:5" x14ac:dyDescent="0.25">
      <c r="A165" t="s">
        <v>1352</v>
      </c>
      <c r="B165" s="118">
        <f t="shared" si="0"/>
        <v>287000</v>
      </c>
      <c r="C165" s="16">
        <v>2015</v>
      </c>
      <c r="D165" s="16" t="s">
        <v>1230</v>
      </c>
      <c r="E165">
        <v>9.8000000000000007</v>
      </c>
    </row>
    <row r="166" spans="1:5" x14ac:dyDescent="0.25">
      <c r="A166" t="s">
        <v>1353</v>
      </c>
      <c r="B166" s="118">
        <f t="shared" si="0"/>
        <v>322000</v>
      </c>
      <c r="C166" s="16">
        <v>2015</v>
      </c>
      <c r="D166" s="16" t="s">
        <v>1230</v>
      </c>
      <c r="E166">
        <v>11.3</v>
      </c>
    </row>
    <row r="167" spans="1:5" x14ac:dyDescent="0.25">
      <c r="A167" t="s">
        <v>1354</v>
      </c>
      <c r="B167" s="131">
        <f>B153*1.3</f>
        <v>455000</v>
      </c>
      <c r="C167" s="123" t="s">
        <v>1251</v>
      </c>
      <c r="D167" s="16" t="s">
        <v>1230</v>
      </c>
      <c r="E167">
        <v>22.5</v>
      </c>
    </row>
    <row r="168" spans="1:5" x14ac:dyDescent="0.25">
      <c r="A168" t="s">
        <v>1355</v>
      </c>
      <c r="B168" s="131">
        <f>B154*1.3</f>
        <v>1105000</v>
      </c>
      <c r="C168" s="123" t="s">
        <v>1251</v>
      </c>
      <c r="D168" s="16" t="s">
        <v>1230</v>
      </c>
      <c r="E168">
        <v>28.5</v>
      </c>
    </row>
    <row r="169" spans="1:5" x14ac:dyDescent="0.25">
      <c r="A169" t="s">
        <v>1356</v>
      </c>
      <c r="B169" s="131">
        <f>B155*1.3</f>
        <v>1430000</v>
      </c>
      <c r="C169" s="123" t="s">
        <v>1251</v>
      </c>
      <c r="D169" s="16" t="s">
        <v>1230</v>
      </c>
      <c r="E169">
        <f>E155</f>
        <v>42</v>
      </c>
    </row>
    <row r="170" spans="1:5" x14ac:dyDescent="0.25">
      <c r="A170" t="s">
        <v>1357</v>
      </c>
      <c r="B170" s="131">
        <f>B156*1.3</f>
        <v>1690000</v>
      </c>
      <c r="C170" s="123" t="s">
        <v>1251</v>
      </c>
      <c r="D170" s="16" t="s">
        <v>1230</v>
      </c>
      <c r="E170">
        <v>62</v>
      </c>
    </row>
    <row r="171" spans="1:5" x14ac:dyDescent="0.25">
      <c r="A171" t="s">
        <v>1358</v>
      </c>
      <c r="B171" s="131">
        <v>150000</v>
      </c>
      <c r="C171" s="16">
        <v>2015</v>
      </c>
      <c r="D171" s="16" t="s">
        <v>1230</v>
      </c>
      <c r="E171">
        <v>3.2</v>
      </c>
    </row>
    <row r="172" spans="1:5" x14ac:dyDescent="0.25">
      <c r="A172" t="s">
        <v>1359</v>
      </c>
      <c r="B172" s="131">
        <v>200000</v>
      </c>
      <c r="C172" s="16">
        <v>2015</v>
      </c>
      <c r="D172" s="16" t="s">
        <v>1230</v>
      </c>
      <c r="E172">
        <v>4.3</v>
      </c>
    </row>
    <row r="173" spans="1:5" x14ac:dyDescent="0.25">
      <c r="A173" t="s">
        <v>1360</v>
      </c>
      <c r="B173" s="88">
        <v>250000</v>
      </c>
      <c r="C173" s="16">
        <v>2015</v>
      </c>
      <c r="D173" s="16" t="s">
        <v>1230</v>
      </c>
      <c r="E173">
        <v>5.5</v>
      </c>
    </row>
    <row r="174" spans="1:5" x14ac:dyDescent="0.25">
      <c r="A174" t="s">
        <v>1361</v>
      </c>
      <c r="B174" s="88">
        <v>335000</v>
      </c>
      <c r="C174" s="16">
        <v>2015</v>
      </c>
      <c r="D174" s="16" t="s">
        <v>1230</v>
      </c>
      <c r="E174" s="120">
        <f>E173*8/6</f>
        <v>7.333333333333333</v>
      </c>
    </row>
    <row r="175" spans="1:5" x14ac:dyDescent="0.25">
      <c r="A175" t="s">
        <v>1362</v>
      </c>
      <c r="B175" s="88">
        <v>250000</v>
      </c>
      <c r="C175" s="16">
        <v>2015</v>
      </c>
      <c r="D175" s="16" t="s">
        <v>1230</v>
      </c>
      <c r="E175" s="120">
        <f>22.5*0.666666666666667</f>
        <v>15.000000000000007</v>
      </c>
    </row>
    <row r="176" spans="1:5" x14ac:dyDescent="0.25">
      <c r="A176" t="s">
        <v>1363</v>
      </c>
      <c r="B176" s="88">
        <f>+B175*1.2</f>
        <v>300000</v>
      </c>
      <c r="C176" s="16">
        <v>2015</v>
      </c>
      <c r="D176" s="16" t="s">
        <v>1230</v>
      </c>
      <c r="E176" s="120">
        <v>22</v>
      </c>
    </row>
    <row r="177" spans="1:5" x14ac:dyDescent="0.25">
      <c r="A177" t="s">
        <v>1364</v>
      </c>
      <c r="B177" s="88">
        <f>620000</f>
        <v>620000</v>
      </c>
      <c r="C177" s="16" t="s">
        <v>1251</v>
      </c>
      <c r="D177" s="16" t="s">
        <v>1230</v>
      </c>
      <c r="E177" s="120">
        <v>30</v>
      </c>
    </row>
    <row r="178" spans="1:5" x14ac:dyDescent="0.25">
      <c r="A178" t="s">
        <v>1365</v>
      </c>
      <c r="B178" s="88">
        <f>B183/1.2</f>
        <v>708333.33333333337</v>
      </c>
      <c r="C178" s="16" t="s">
        <v>1286</v>
      </c>
      <c r="D178" s="16" t="s">
        <v>1230</v>
      </c>
      <c r="E178">
        <v>35</v>
      </c>
    </row>
    <row r="179" spans="1:5" x14ac:dyDescent="0.25">
      <c r="A179" t="s">
        <v>1366</v>
      </c>
      <c r="B179" s="88">
        <v>990000</v>
      </c>
      <c r="C179" s="16" t="s">
        <v>1251</v>
      </c>
      <c r="D179" s="16" t="s">
        <v>1230</v>
      </c>
      <c r="E179">
        <v>50</v>
      </c>
    </row>
    <row r="180" spans="1:5" x14ac:dyDescent="0.25">
      <c r="A180" t="s">
        <v>1367</v>
      </c>
      <c r="B180" s="131">
        <v>1250000</v>
      </c>
      <c r="C180" s="123" t="s">
        <v>1251</v>
      </c>
      <c r="D180" s="16" t="s">
        <v>1230</v>
      </c>
      <c r="E180">
        <v>62</v>
      </c>
    </row>
    <row r="181" spans="1:5" x14ac:dyDescent="0.25">
      <c r="A181" t="s">
        <v>1368</v>
      </c>
      <c r="B181" s="131">
        <v>1500000</v>
      </c>
      <c r="C181" s="123" t="s">
        <v>1251</v>
      </c>
      <c r="D181" s="16" t="s">
        <v>1230</v>
      </c>
      <c r="E181">
        <f>E180*3000/2500</f>
        <v>74.400000000000006</v>
      </c>
    </row>
    <row r="182" spans="1:5" x14ac:dyDescent="0.25">
      <c r="A182" t="s">
        <v>1369</v>
      </c>
      <c r="B182" s="131">
        <v>1900000</v>
      </c>
      <c r="C182" s="123" t="s">
        <v>1370</v>
      </c>
      <c r="D182" s="16" t="s">
        <v>1230</v>
      </c>
      <c r="E182">
        <v>124</v>
      </c>
    </row>
    <row r="183" spans="1:5" x14ac:dyDescent="0.25">
      <c r="A183" t="s">
        <v>1371</v>
      </c>
      <c r="B183" s="131">
        <v>850000</v>
      </c>
      <c r="C183" s="123" t="s">
        <v>1251</v>
      </c>
      <c r="D183" s="16" t="s">
        <v>1230</v>
      </c>
      <c r="E183">
        <v>35</v>
      </c>
    </row>
    <row r="184" spans="1:5" x14ac:dyDescent="0.25">
      <c r="A184" t="s">
        <v>1372</v>
      </c>
      <c r="B184" s="131">
        <v>1100000</v>
      </c>
      <c r="C184" s="123" t="s">
        <v>1251</v>
      </c>
      <c r="D184" s="16" t="s">
        <v>1230</v>
      </c>
      <c r="E184">
        <v>55</v>
      </c>
    </row>
    <row r="185" spans="1:5" x14ac:dyDescent="0.25">
      <c r="A185" t="s">
        <v>1373</v>
      </c>
      <c r="B185" s="131">
        <f>+B180*1.3</f>
        <v>1625000</v>
      </c>
      <c r="C185" s="123" t="s">
        <v>1251</v>
      </c>
      <c r="D185" s="16" t="s">
        <v>1230</v>
      </c>
      <c r="E185" s="132">
        <f>55*1.25</f>
        <v>68.75</v>
      </c>
    </row>
    <row r="186" spans="1:5" x14ac:dyDescent="0.25">
      <c r="A186" t="s">
        <v>1374</v>
      </c>
      <c r="B186" s="131">
        <f>+B181*1.3</f>
        <v>1950000</v>
      </c>
      <c r="C186" s="123" t="s">
        <v>1251</v>
      </c>
      <c r="D186" s="16" t="s">
        <v>1230</v>
      </c>
      <c r="E186">
        <f>E181</f>
        <v>74.400000000000006</v>
      </c>
    </row>
    <row r="187" spans="1:5" x14ac:dyDescent="0.25">
      <c r="A187" t="s">
        <v>1375</v>
      </c>
      <c r="B187" s="131">
        <f>+B181*1.3</f>
        <v>1950000</v>
      </c>
      <c r="C187" s="123" t="s">
        <v>1251</v>
      </c>
      <c r="D187" s="16" t="s">
        <v>1230</v>
      </c>
      <c r="E187">
        <v>124</v>
      </c>
    </row>
    <row r="188" spans="1:5" x14ac:dyDescent="0.25">
      <c r="A188" t="s">
        <v>1376</v>
      </c>
      <c r="B188" s="118">
        <v>120000</v>
      </c>
      <c r="C188" s="127">
        <v>42486</v>
      </c>
      <c r="D188" s="16" t="s">
        <v>1230</v>
      </c>
      <c r="E188">
        <v>4.3</v>
      </c>
    </row>
    <row r="189" spans="1:5" x14ac:dyDescent="0.25">
      <c r="A189" t="s">
        <v>1377</v>
      </c>
      <c r="B189" s="118">
        <v>230000</v>
      </c>
      <c r="C189" s="16">
        <v>2015</v>
      </c>
      <c r="D189" s="16" t="s">
        <v>1230</v>
      </c>
      <c r="E189">
        <v>6.2</v>
      </c>
    </row>
    <row r="190" spans="1:5" x14ac:dyDescent="0.25">
      <c r="A190" t="s">
        <v>1378</v>
      </c>
      <c r="B190" s="118">
        <v>250000</v>
      </c>
      <c r="C190" s="16">
        <v>2015</v>
      </c>
      <c r="D190" s="16" t="s">
        <v>1230</v>
      </c>
      <c r="E190">
        <v>8.6999999999999993</v>
      </c>
    </row>
    <row r="191" spans="1:5" x14ac:dyDescent="0.25">
      <c r="A191" t="s">
        <v>1379</v>
      </c>
      <c r="B191" s="118">
        <v>300000</v>
      </c>
      <c r="C191" s="16">
        <v>2015</v>
      </c>
      <c r="D191" s="16" t="s">
        <v>1230</v>
      </c>
      <c r="E191">
        <v>35.4</v>
      </c>
    </row>
    <row r="192" spans="1:5" x14ac:dyDescent="0.25">
      <c r="A192" t="s">
        <v>1380</v>
      </c>
      <c r="B192" s="118">
        <f>B153*1.2</f>
        <v>420000</v>
      </c>
      <c r="C192" s="16">
        <v>2015</v>
      </c>
      <c r="D192" s="16" t="s">
        <v>1230</v>
      </c>
      <c r="E192">
        <v>62</v>
      </c>
    </row>
    <row r="193" spans="1:5" x14ac:dyDescent="0.25">
      <c r="A193" t="s">
        <v>1381</v>
      </c>
      <c r="B193" s="118">
        <f>B154*1.2</f>
        <v>1020000</v>
      </c>
      <c r="C193" s="16">
        <v>2015</v>
      </c>
      <c r="D193" s="16" t="s">
        <v>1230</v>
      </c>
      <c r="E193">
        <v>81.2</v>
      </c>
    </row>
    <row r="194" spans="1:5" x14ac:dyDescent="0.25">
      <c r="A194" t="s">
        <v>1382</v>
      </c>
      <c r="B194" s="118">
        <v>1300000</v>
      </c>
      <c r="C194" s="16">
        <v>2015</v>
      </c>
      <c r="D194" s="16" t="s">
        <v>1230</v>
      </c>
      <c r="E194">
        <v>100.4</v>
      </c>
    </row>
    <row r="195" spans="1:5" x14ac:dyDescent="0.25">
      <c r="A195" t="s">
        <v>1383</v>
      </c>
      <c r="B195" s="118">
        <v>1400000</v>
      </c>
      <c r="C195" s="16">
        <v>2015</v>
      </c>
      <c r="D195" s="16" t="s">
        <v>1230</v>
      </c>
      <c r="E195">
        <v>110</v>
      </c>
    </row>
    <row r="196" spans="1:5" x14ac:dyDescent="0.25">
      <c r="A196" t="s">
        <v>1384</v>
      </c>
      <c r="B196" s="118">
        <v>1500000</v>
      </c>
      <c r="C196" s="16">
        <v>2015</v>
      </c>
      <c r="D196" s="16" t="s">
        <v>1230</v>
      </c>
      <c r="E196">
        <v>115</v>
      </c>
    </row>
    <row r="197" spans="1:5" x14ac:dyDescent="0.25">
      <c r="A197" t="s">
        <v>1385</v>
      </c>
      <c r="B197" s="118">
        <v>1700000</v>
      </c>
      <c r="C197" s="16">
        <v>2015</v>
      </c>
      <c r="D197" s="16" t="s">
        <v>1230</v>
      </c>
      <c r="E197">
        <f>E194*1.3</f>
        <v>130.52000000000001</v>
      </c>
    </row>
    <row r="198" spans="1:5" x14ac:dyDescent="0.25">
      <c r="A198" t="s">
        <v>1386</v>
      </c>
      <c r="B198" s="118">
        <f>B188*2</f>
        <v>240000</v>
      </c>
      <c r="C198" s="16">
        <v>2015</v>
      </c>
      <c r="D198" s="16" t="s">
        <v>1230</v>
      </c>
      <c r="E198">
        <f>E188</f>
        <v>4.3</v>
      </c>
    </row>
    <row r="199" spans="1:5" x14ac:dyDescent="0.25">
      <c r="A199" t="s">
        <v>1387</v>
      </c>
      <c r="B199" s="118">
        <f>B190*1.3</f>
        <v>325000</v>
      </c>
      <c r="C199" s="16">
        <v>2015</v>
      </c>
      <c r="D199" s="16" t="s">
        <v>1230</v>
      </c>
      <c r="E199">
        <f>E190</f>
        <v>8.6999999999999993</v>
      </c>
    </row>
    <row r="200" spans="1:5" x14ac:dyDescent="0.25">
      <c r="A200" t="s">
        <v>1388</v>
      </c>
      <c r="B200" s="118">
        <v>1100000</v>
      </c>
      <c r="C200" s="16">
        <v>2015</v>
      </c>
      <c r="D200" s="16" t="s">
        <v>1230</v>
      </c>
      <c r="E200">
        <v>62</v>
      </c>
    </row>
    <row r="201" spans="1:5" x14ac:dyDescent="0.25">
      <c r="A201" t="s">
        <v>1389</v>
      </c>
      <c r="B201" s="118">
        <f>B195*1.25</f>
        <v>1750000</v>
      </c>
      <c r="C201" s="16">
        <v>2015</v>
      </c>
      <c r="D201" s="16" t="s">
        <v>1230</v>
      </c>
      <c r="E201">
        <v>110</v>
      </c>
    </row>
    <row r="202" spans="1:5" x14ac:dyDescent="0.25">
      <c r="A202" t="s">
        <v>1390</v>
      </c>
      <c r="B202" s="118">
        <f>B197*1.3</f>
        <v>2210000</v>
      </c>
      <c r="C202" s="16" t="s">
        <v>1251</v>
      </c>
      <c r="D202" s="16" t="s">
        <v>1230</v>
      </c>
      <c r="E202">
        <v>130.52000000000001</v>
      </c>
    </row>
    <row r="203" spans="1:5" x14ac:dyDescent="0.25">
      <c r="A203" t="s">
        <v>1391</v>
      </c>
      <c r="B203" s="118">
        <v>100000</v>
      </c>
      <c r="C203" s="16">
        <v>2015</v>
      </c>
      <c r="D203" s="16" t="s">
        <v>1230</v>
      </c>
      <c r="E203">
        <v>4.3</v>
      </c>
    </row>
    <row r="204" spans="1:5" x14ac:dyDescent="0.25">
      <c r="A204" t="s">
        <v>1392</v>
      </c>
      <c r="B204" s="118">
        <f>B203*1.3</f>
        <v>130000</v>
      </c>
      <c r="C204" s="16" t="s">
        <v>1251</v>
      </c>
      <c r="D204" s="16" t="s">
        <v>1230</v>
      </c>
      <c r="E204">
        <v>4.3</v>
      </c>
    </row>
    <row r="205" spans="1:5" x14ac:dyDescent="0.25">
      <c r="A205" s="117" t="s">
        <v>1393</v>
      </c>
      <c r="B205" s="117" t="s">
        <v>1280</v>
      </c>
      <c r="C205" s="117" t="s">
        <v>1226</v>
      </c>
      <c r="D205" s="117" t="s">
        <v>1227</v>
      </c>
      <c r="E205" s="117" t="s">
        <v>1281</v>
      </c>
    </row>
    <row r="206" spans="1:5" x14ac:dyDescent="0.25">
      <c r="A206" s="16" t="s">
        <v>1394</v>
      </c>
      <c r="B206" s="88">
        <v>230000</v>
      </c>
      <c r="C206" s="16">
        <v>2015</v>
      </c>
      <c r="D206" s="16" t="s">
        <v>1230</v>
      </c>
      <c r="E206">
        <v>3</v>
      </c>
    </row>
    <row r="207" spans="1:5" x14ac:dyDescent="0.25">
      <c r="A207" s="16" t="s">
        <v>725</v>
      </c>
      <c r="B207" s="88">
        <v>240000</v>
      </c>
      <c r="C207" s="16">
        <v>2015</v>
      </c>
      <c r="D207" s="16" t="s">
        <v>1230</v>
      </c>
      <c r="E207">
        <v>4</v>
      </c>
    </row>
    <row r="208" spans="1:5" x14ac:dyDescent="0.25">
      <c r="A208" s="16" t="s">
        <v>802</v>
      </c>
      <c r="B208" s="88">
        <v>260000</v>
      </c>
      <c r="C208" s="16">
        <v>2015</v>
      </c>
      <c r="D208" s="16" t="s">
        <v>1230</v>
      </c>
      <c r="E208">
        <v>5</v>
      </c>
    </row>
    <row r="209" spans="1:5" x14ac:dyDescent="0.25">
      <c r="A209" s="16" t="s">
        <v>747</v>
      </c>
      <c r="B209" s="88">
        <v>280000</v>
      </c>
      <c r="C209" s="16">
        <v>2015</v>
      </c>
      <c r="D209" s="16" t="s">
        <v>1230</v>
      </c>
      <c r="E209">
        <v>6</v>
      </c>
    </row>
    <row r="210" spans="1:5" x14ac:dyDescent="0.25">
      <c r="A210" s="16" t="s">
        <v>1062</v>
      </c>
      <c r="B210" s="88">
        <v>325000</v>
      </c>
      <c r="C210" s="16">
        <v>2015</v>
      </c>
      <c r="D210" s="16" t="s">
        <v>1230</v>
      </c>
      <c r="E210">
        <v>8</v>
      </c>
    </row>
    <row r="211" spans="1:5" x14ac:dyDescent="0.25">
      <c r="A211" s="16" t="s">
        <v>1395</v>
      </c>
      <c r="B211" s="88">
        <v>430000</v>
      </c>
      <c r="C211" s="16">
        <v>2015</v>
      </c>
      <c r="D211" s="16" t="s">
        <v>1230</v>
      </c>
      <c r="E211">
        <v>10</v>
      </c>
    </row>
    <row r="212" spans="1:5" x14ac:dyDescent="0.25">
      <c r="A212" s="16" t="s">
        <v>1396</v>
      </c>
      <c r="B212" s="88">
        <v>550000</v>
      </c>
      <c r="C212" s="16">
        <v>2015</v>
      </c>
      <c r="D212" s="16" t="s">
        <v>1230</v>
      </c>
      <c r="E212">
        <v>13</v>
      </c>
    </row>
    <row r="213" spans="1:5" x14ac:dyDescent="0.25">
      <c r="A213" s="16" t="s">
        <v>1397</v>
      </c>
      <c r="B213" s="88">
        <v>650000</v>
      </c>
      <c r="C213" s="123" t="s">
        <v>1251</v>
      </c>
      <c r="D213" s="16" t="s">
        <v>1230</v>
      </c>
      <c r="E213">
        <v>16</v>
      </c>
    </row>
    <row r="214" spans="1:5" x14ac:dyDescent="0.25">
      <c r="A214" s="16" t="s">
        <v>1133</v>
      </c>
      <c r="B214" s="88">
        <v>260000</v>
      </c>
      <c r="C214" s="16">
        <v>2015</v>
      </c>
      <c r="D214" s="16" t="s">
        <v>1230</v>
      </c>
      <c r="E214">
        <v>4</v>
      </c>
    </row>
    <row r="215" spans="1:5" x14ac:dyDescent="0.25">
      <c r="A215" s="16" t="s">
        <v>1135</v>
      </c>
      <c r="B215" s="88">
        <v>280000</v>
      </c>
      <c r="C215" s="123" t="s">
        <v>1398</v>
      </c>
      <c r="D215" s="16" t="s">
        <v>1230</v>
      </c>
      <c r="E215">
        <v>5</v>
      </c>
    </row>
    <row r="216" spans="1:5" x14ac:dyDescent="0.25">
      <c r="A216" s="16" t="s">
        <v>879</v>
      </c>
      <c r="B216" s="88">
        <v>310000</v>
      </c>
      <c r="C216" s="123" t="s">
        <v>1251</v>
      </c>
      <c r="D216" s="16" t="s">
        <v>1230</v>
      </c>
      <c r="E216">
        <v>7</v>
      </c>
    </row>
    <row r="217" spans="1:5" x14ac:dyDescent="0.25">
      <c r="A217" s="16" t="s">
        <v>1131</v>
      </c>
      <c r="B217" s="131">
        <v>350000</v>
      </c>
      <c r="C217" s="123" t="s">
        <v>1398</v>
      </c>
      <c r="D217" s="16" t="s">
        <v>1230</v>
      </c>
      <c r="E217">
        <f>E210</f>
        <v>8</v>
      </c>
    </row>
    <row r="218" spans="1:5" x14ac:dyDescent="0.25">
      <c r="A218" s="16" t="s">
        <v>1399</v>
      </c>
      <c r="B218" s="131">
        <v>600000</v>
      </c>
      <c r="C218" s="123" t="s">
        <v>1398</v>
      </c>
      <c r="D218" s="16" t="s">
        <v>1230</v>
      </c>
      <c r="E218">
        <f>E212</f>
        <v>13</v>
      </c>
    </row>
    <row r="219" spans="1:5" x14ac:dyDescent="0.25">
      <c r="A219" s="16" t="s">
        <v>1400</v>
      </c>
      <c r="B219" s="131">
        <v>700000</v>
      </c>
      <c r="C219" s="123" t="s">
        <v>1398</v>
      </c>
      <c r="D219" s="16" t="s">
        <v>1230</v>
      </c>
      <c r="E219">
        <v>16</v>
      </c>
    </row>
    <row r="220" spans="1:5" x14ac:dyDescent="0.25">
      <c r="A220" s="16" t="s">
        <v>1401</v>
      </c>
      <c r="B220" s="131">
        <v>120000</v>
      </c>
      <c r="C220" s="16" t="s">
        <v>1251</v>
      </c>
      <c r="D220" s="16" t="s">
        <v>1230</v>
      </c>
      <c r="E220">
        <v>4</v>
      </c>
    </row>
    <row r="221" spans="1:5" x14ac:dyDescent="0.25">
      <c r="A221" s="16" t="s">
        <v>1402</v>
      </c>
      <c r="B221" s="131">
        <v>150000</v>
      </c>
      <c r="C221" s="16" t="s">
        <v>1251</v>
      </c>
      <c r="D221" s="16" t="s">
        <v>1230</v>
      </c>
      <c r="E221">
        <v>5</v>
      </c>
    </row>
    <row r="222" spans="1:5" x14ac:dyDescent="0.25">
      <c r="A222" s="16" t="s">
        <v>1403</v>
      </c>
      <c r="B222" s="131">
        <v>180000</v>
      </c>
      <c r="C222" s="16" t="s">
        <v>1251</v>
      </c>
      <c r="D222" s="16" t="s">
        <v>1230</v>
      </c>
      <c r="E222">
        <v>6</v>
      </c>
    </row>
    <row r="223" spans="1:5" x14ac:dyDescent="0.25">
      <c r="A223" s="16" t="s">
        <v>1404</v>
      </c>
      <c r="B223" s="131">
        <v>230000</v>
      </c>
      <c r="C223" s="123" t="s">
        <v>1398</v>
      </c>
      <c r="D223" s="16" t="s">
        <v>1230</v>
      </c>
      <c r="E223">
        <v>8</v>
      </c>
    </row>
    <row r="224" spans="1:5" x14ac:dyDescent="0.25">
      <c r="A224" s="16" t="s">
        <v>1405</v>
      </c>
      <c r="B224" s="131">
        <v>280000</v>
      </c>
      <c r="C224" s="123" t="s">
        <v>1398</v>
      </c>
      <c r="D224" s="16" t="s">
        <v>1230</v>
      </c>
      <c r="E224">
        <v>10</v>
      </c>
    </row>
    <row r="225" spans="1:10" x14ac:dyDescent="0.25">
      <c r="A225" s="16" t="s">
        <v>1406</v>
      </c>
      <c r="B225" s="131">
        <v>350000</v>
      </c>
      <c r="C225" s="123" t="s">
        <v>1251</v>
      </c>
      <c r="D225" s="16" t="s">
        <v>1230</v>
      </c>
      <c r="E225">
        <v>12</v>
      </c>
    </row>
    <row r="226" spans="1:10" x14ac:dyDescent="0.25">
      <c r="A226" s="16" t="s">
        <v>1407</v>
      </c>
      <c r="B226" s="131">
        <v>380000</v>
      </c>
      <c r="C226" s="123" t="s">
        <v>1251</v>
      </c>
      <c r="D226" s="16" t="s">
        <v>1230</v>
      </c>
      <c r="E226">
        <v>16</v>
      </c>
    </row>
    <row r="227" spans="1:10" x14ac:dyDescent="0.25">
      <c r="A227" s="16" t="s">
        <v>1408</v>
      </c>
      <c r="B227" s="131">
        <v>240000</v>
      </c>
      <c r="C227" s="123" t="s">
        <v>1251</v>
      </c>
      <c r="D227" s="16" t="s">
        <v>1230</v>
      </c>
      <c r="E227">
        <v>6</v>
      </c>
    </row>
    <row r="228" spans="1:10" x14ac:dyDescent="0.25">
      <c r="A228" s="16" t="s">
        <v>1409</v>
      </c>
      <c r="B228" s="131">
        <f>B223*1.2</f>
        <v>276000</v>
      </c>
      <c r="C228" s="123" t="s">
        <v>1251</v>
      </c>
      <c r="D228" s="16" t="s">
        <v>1230</v>
      </c>
      <c r="E228">
        <v>8</v>
      </c>
    </row>
    <row r="229" spans="1:10" x14ac:dyDescent="0.25">
      <c r="A229" s="16" t="s">
        <v>1410</v>
      </c>
      <c r="B229" s="131">
        <f>B224*1.2</f>
        <v>336000</v>
      </c>
      <c r="C229" s="123" t="s">
        <v>1398</v>
      </c>
      <c r="D229" s="16" t="s">
        <v>1230</v>
      </c>
      <c r="E229">
        <v>8</v>
      </c>
    </row>
    <row r="230" spans="1:10" x14ac:dyDescent="0.25">
      <c r="A230" s="16" t="s">
        <v>1411</v>
      </c>
      <c r="B230" s="131">
        <f>+B225*1.2</f>
        <v>420000</v>
      </c>
      <c r="C230" s="123" t="s">
        <v>1398</v>
      </c>
      <c r="D230" s="16" t="s">
        <v>1230</v>
      </c>
      <c r="E230">
        <v>12</v>
      </c>
    </row>
    <row r="231" spans="1:10" x14ac:dyDescent="0.25">
      <c r="A231" s="16" t="s">
        <v>1412</v>
      </c>
      <c r="B231" s="131">
        <f>B226*1.2</f>
        <v>456000</v>
      </c>
      <c r="C231" s="123" t="s">
        <v>1398</v>
      </c>
      <c r="D231" s="16" t="s">
        <v>1230</v>
      </c>
      <c r="E231">
        <v>16</v>
      </c>
    </row>
    <row r="232" spans="1:10" x14ac:dyDescent="0.25">
      <c r="A232" s="16" t="s">
        <v>757</v>
      </c>
      <c r="B232" s="88">
        <v>140000</v>
      </c>
      <c r="C232" s="16">
        <v>2015</v>
      </c>
      <c r="D232" s="16" t="s">
        <v>1230</v>
      </c>
      <c r="E232">
        <v>4</v>
      </c>
    </row>
    <row r="233" spans="1:10" x14ac:dyDescent="0.25">
      <c r="A233" s="16" t="s">
        <v>1193</v>
      </c>
      <c r="B233" s="88">
        <v>180000</v>
      </c>
      <c r="C233" s="16">
        <v>2015</v>
      </c>
      <c r="D233" s="16" t="s">
        <v>1230</v>
      </c>
      <c r="E233">
        <v>5</v>
      </c>
    </row>
    <row r="234" spans="1:10" x14ac:dyDescent="0.25">
      <c r="A234" s="16" t="s">
        <v>781</v>
      </c>
      <c r="B234" s="88">
        <f>B243</f>
        <v>310000</v>
      </c>
      <c r="C234" s="16">
        <v>2015</v>
      </c>
      <c r="D234" s="16" t="s">
        <v>1230</v>
      </c>
      <c r="E234">
        <v>6</v>
      </c>
    </row>
    <row r="235" spans="1:10" x14ac:dyDescent="0.25">
      <c r="A235" s="16" t="s">
        <v>766</v>
      </c>
      <c r="B235" s="88">
        <f>B244</f>
        <v>340000</v>
      </c>
      <c r="C235" s="16">
        <v>2015</v>
      </c>
      <c r="D235" s="16" t="s">
        <v>1230</v>
      </c>
      <c r="E235">
        <v>8</v>
      </c>
    </row>
    <row r="236" spans="1:10" x14ac:dyDescent="0.25">
      <c r="A236" s="16" t="s">
        <v>939</v>
      </c>
      <c r="B236" s="88">
        <v>450000</v>
      </c>
      <c r="C236" s="16">
        <v>2015</v>
      </c>
      <c r="D236" s="16" t="s">
        <v>1230</v>
      </c>
      <c r="E236">
        <v>13</v>
      </c>
    </row>
    <row r="237" spans="1:10" x14ac:dyDescent="0.25">
      <c r="A237" s="16" t="s">
        <v>946</v>
      </c>
      <c r="B237" s="88">
        <v>650000</v>
      </c>
      <c r="C237" s="16">
        <v>2015</v>
      </c>
      <c r="D237" s="16" t="s">
        <v>1230</v>
      </c>
      <c r="E237">
        <v>25</v>
      </c>
    </row>
    <row r="238" spans="1:10" x14ac:dyDescent="0.25">
      <c r="A238" s="16" t="s">
        <v>1080</v>
      </c>
      <c r="B238" s="88">
        <f>B214</f>
        <v>260000</v>
      </c>
      <c r="C238" s="16">
        <v>2015</v>
      </c>
      <c r="D238" s="16" t="s">
        <v>1230</v>
      </c>
      <c r="E238">
        <v>4</v>
      </c>
    </row>
    <row r="239" spans="1:10" x14ac:dyDescent="0.25">
      <c r="A239" s="16" t="s">
        <v>943</v>
      </c>
      <c r="B239" s="88">
        <v>600000</v>
      </c>
      <c r="C239" s="16">
        <v>2015</v>
      </c>
      <c r="D239" s="16" t="s">
        <v>1230</v>
      </c>
      <c r="E239">
        <v>13</v>
      </c>
      <c r="H239" s="16"/>
      <c r="I239" s="16"/>
      <c r="J239" s="16"/>
    </row>
    <row r="240" spans="1:10" x14ac:dyDescent="0.25">
      <c r="A240" s="16" t="s">
        <v>953</v>
      </c>
      <c r="B240" s="88">
        <f>B239*1.3</f>
        <v>780000</v>
      </c>
      <c r="C240" s="16" t="s">
        <v>1251</v>
      </c>
      <c r="D240" s="16" t="s">
        <v>1230</v>
      </c>
      <c r="E240">
        <v>25</v>
      </c>
      <c r="H240" s="16"/>
      <c r="I240" s="16"/>
      <c r="J240" s="16"/>
    </row>
    <row r="241" spans="1:10" x14ac:dyDescent="0.25">
      <c r="A241" s="16" t="s">
        <v>1083</v>
      </c>
      <c r="B241" s="88">
        <v>250000</v>
      </c>
      <c r="C241" s="16">
        <v>2015</v>
      </c>
      <c r="D241" s="16" t="s">
        <v>1230</v>
      </c>
      <c r="E241">
        <v>4</v>
      </c>
      <c r="H241" s="16"/>
      <c r="I241" s="16"/>
      <c r="J241" s="16"/>
    </row>
    <row r="242" spans="1:10" x14ac:dyDescent="0.25">
      <c r="A242" t="s">
        <v>1413</v>
      </c>
      <c r="B242" s="118">
        <v>280000</v>
      </c>
      <c r="C242" s="16">
        <v>2015</v>
      </c>
      <c r="D242" s="16" t="s">
        <v>1230</v>
      </c>
      <c r="E242">
        <v>5</v>
      </c>
      <c r="H242" s="16"/>
      <c r="I242" s="16"/>
      <c r="J242" s="16"/>
    </row>
    <row r="243" spans="1:10" x14ac:dyDescent="0.25">
      <c r="A243" s="133" t="s">
        <v>1414</v>
      </c>
      <c r="B243" s="118">
        <v>310000</v>
      </c>
      <c r="C243" s="16">
        <v>2015</v>
      </c>
      <c r="D243" s="16" t="s">
        <v>1230</v>
      </c>
      <c r="E243">
        <v>6</v>
      </c>
      <c r="H243" s="134"/>
      <c r="I243" s="16"/>
      <c r="J243" s="16"/>
    </row>
    <row r="244" spans="1:10" x14ac:dyDescent="0.25">
      <c r="A244" s="133" t="s">
        <v>1415</v>
      </c>
      <c r="B244" s="118">
        <v>340000</v>
      </c>
      <c r="C244" s="16">
        <v>2015</v>
      </c>
      <c r="D244" s="16" t="s">
        <v>1230</v>
      </c>
      <c r="E244">
        <v>8</v>
      </c>
      <c r="H244" s="16"/>
      <c r="I244" s="16"/>
      <c r="J244" s="16"/>
    </row>
    <row r="245" spans="1:10" x14ac:dyDescent="0.25">
      <c r="A245" s="133" t="s">
        <v>1416</v>
      </c>
      <c r="B245" s="118">
        <v>360000</v>
      </c>
      <c r="C245" s="16">
        <v>2015</v>
      </c>
      <c r="D245" s="16" t="s">
        <v>1230</v>
      </c>
      <c r="E245">
        <v>10</v>
      </c>
      <c r="H245" s="16"/>
      <c r="I245" s="16"/>
      <c r="J245" s="16"/>
    </row>
    <row r="246" spans="1:10" x14ac:dyDescent="0.25">
      <c r="A246" s="133" t="s">
        <v>1417</v>
      </c>
      <c r="B246" s="118">
        <v>380000</v>
      </c>
      <c r="C246" s="16">
        <v>2015</v>
      </c>
      <c r="D246" s="16" t="s">
        <v>1230</v>
      </c>
      <c r="E246">
        <v>12</v>
      </c>
      <c r="H246" s="16"/>
      <c r="I246" s="16"/>
      <c r="J246" s="16"/>
    </row>
    <row r="247" spans="1:10" x14ac:dyDescent="0.25">
      <c r="A247" s="133" t="s">
        <v>1085</v>
      </c>
      <c r="B247" s="118">
        <f>B241*1.3</f>
        <v>325000</v>
      </c>
      <c r="C247" s="16">
        <v>2015</v>
      </c>
      <c r="D247" s="16" t="s">
        <v>1230</v>
      </c>
      <c r="E247">
        <v>4</v>
      </c>
    </row>
    <row r="248" spans="1:10" x14ac:dyDescent="0.25">
      <c r="A248" s="133" t="s">
        <v>1418</v>
      </c>
      <c r="B248" s="118">
        <f>B243*1.2</f>
        <v>372000</v>
      </c>
      <c r="C248" s="16">
        <v>2015</v>
      </c>
      <c r="D248" s="16" t="s">
        <v>1230</v>
      </c>
      <c r="E248">
        <v>6</v>
      </c>
    </row>
    <row r="249" spans="1:10" x14ac:dyDescent="0.25">
      <c r="A249" s="133" t="s">
        <v>1419</v>
      </c>
      <c r="B249" s="118">
        <v>360000</v>
      </c>
      <c r="C249" s="16">
        <v>2015</v>
      </c>
      <c r="D249" s="16" t="s">
        <v>1230</v>
      </c>
      <c r="E249">
        <f>E244</f>
        <v>8</v>
      </c>
    </row>
    <row r="250" spans="1:10" x14ac:dyDescent="0.25">
      <c r="A250" s="133" t="s">
        <v>1420</v>
      </c>
      <c r="B250" s="118">
        <v>410000</v>
      </c>
      <c r="C250" s="16">
        <v>2015</v>
      </c>
      <c r="D250" s="16" t="s">
        <v>1230</v>
      </c>
      <c r="E250">
        <v>12</v>
      </c>
    </row>
    <row r="251" spans="1:10" x14ac:dyDescent="0.25">
      <c r="A251" s="117" t="s">
        <v>1421</v>
      </c>
      <c r="B251" s="117" t="s">
        <v>1280</v>
      </c>
      <c r="C251" s="117" t="s">
        <v>1226</v>
      </c>
      <c r="D251" s="117" t="s">
        <v>1227</v>
      </c>
    </row>
    <row r="252" spans="1:10" s="16" customFormat="1" x14ac:dyDescent="0.25">
      <c r="A252" s="135" t="s">
        <v>1422</v>
      </c>
      <c r="B252" s="118">
        <v>180000</v>
      </c>
      <c r="C252" s="119">
        <v>42426</v>
      </c>
      <c r="D252" s="16" t="s">
        <v>1291</v>
      </c>
    </row>
    <row r="253" spans="1:10" x14ac:dyDescent="0.25">
      <c r="A253" s="135" t="s">
        <v>1423</v>
      </c>
      <c r="B253" s="118">
        <v>180000</v>
      </c>
      <c r="C253" s="119">
        <v>42426</v>
      </c>
      <c r="D253" t="s">
        <v>1291</v>
      </c>
    </row>
    <row r="254" spans="1:10" x14ac:dyDescent="0.25">
      <c r="A254" s="135" t="s">
        <v>1424</v>
      </c>
      <c r="B254" s="118">
        <v>180000</v>
      </c>
      <c r="C254" s="119">
        <v>42426</v>
      </c>
      <c r="D254" t="s">
        <v>1291</v>
      </c>
    </row>
    <row r="255" spans="1:10" x14ac:dyDescent="0.25">
      <c r="A255" s="135" t="s">
        <v>1425</v>
      </c>
      <c r="B255" s="118">
        <v>202000</v>
      </c>
      <c r="C255" s="119">
        <v>42711</v>
      </c>
      <c r="D255" t="s">
        <v>1295</v>
      </c>
      <c r="E255" t="s">
        <v>1426</v>
      </c>
    </row>
    <row r="256" spans="1:10" x14ac:dyDescent="0.25">
      <c r="A256" s="135" t="s">
        <v>1427</v>
      </c>
      <c r="B256" s="118">
        <v>280000</v>
      </c>
      <c r="C256" s="119" t="s">
        <v>1251</v>
      </c>
      <c r="D256" t="s">
        <v>1295</v>
      </c>
    </row>
    <row r="257" spans="1:5" x14ac:dyDescent="0.25">
      <c r="A257" s="135" t="s">
        <v>1428</v>
      </c>
      <c r="B257" s="118">
        <v>220000</v>
      </c>
      <c r="C257" s="119">
        <v>43441</v>
      </c>
      <c r="D257" t="s">
        <v>1295</v>
      </c>
      <c r="E257" t="s">
        <v>1426</v>
      </c>
    </row>
    <row r="258" spans="1:5" x14ac:dyDescent="0.25">
      <c r="A258" s="135" t="s">
        <v>1429</v>
      </c>
      <c r="B258" s="118">
        <v>266000</v>
      </c>
      <c r="C258" s="119">
        <v>43441</v>
      </c>
      <c r="D258" t="s">
        <v>1295</v>
      </c>
      <c r="E258" t="s">
        <v>1426</v>
      </c>
    </row>
    <row r="259" spans="1:5" x14ac:dyDescent="0.25">
      <c r="A259" t="s">
        <v>1430</v>
      </c>
      <c r="B259" s="118">
        <v>60000</v>
      </c>
      <c r="C259" s="119">
        <v>42426</v>
      </c>
      <c r="D259" t="s">
        <v>1291</v>
      </c>
    </row>
    <row r="260" spans="1:5" x14ac:dyDescent="0.25">
      <c r="A260" t="s">
        <v>1431</v>
      </c>
      <c r="B260" s="118">
        <v>60000</v>
      </c>
      <c r="C260" s="119">
        <v>42426</v>
      </c>
      <c r="D260" t="s">
        <v>1291</v>
      </c>
    </row>
    <row r="261" spans="1:5" x14ac:dyDescent="0.25">
      <c r="A261" t="s">
        <v>1432</v>
      </c>
      <c r="B261" s="118">
        <v>77000</v>
      </c>
      <c r="C261" s="119">
        <v>43441</v>
      </c>
      <c r="D261" t="s">
        <v>1295</v>
      </c>
      <c r="E261" t="s">
        <v>1426</v>
      </c>
    </row>
    <row r="262" spans="1:5" x14ac:dyDescent="0.25">
      <c r="A262" t="s">
        <v>1433</v>
      </c>
      <c r="B262" s="118">
        <v>77000</v>
      </c>
      <c r="C262" s="119">
        <v>42426</v>
      </c>
      <c r="D262" t="s">
        <v>1295</v>
      </c>
      <c r="E262" t="s">
        <v>1426</v>
      </c>
    </row>
    <row r="263" spans="1:5" x14ac:dyDescent="0.25">
      <c r="A263" t="s">
        <v>1434</v>
      </c>
      <c r="B263" s="118">
        <v>400000</v>
      </c>
      <c r="C263" s="129" t="s">
        <v>1251</v>
      </c>
      <c r="D263" t="s">
        <v>1295</v>
      </c>
    </row>
    <row r="264" spans="1:5" x14ac:dyDescent="0.25">
      <c r="A264" t="s">
        <v>1435</v>
      </c>
      <c r="B264" s="118">
        <v>400000</v>
      </c>
      <c r="C264" s="129" t="s">
        <v>1251</v>
      </c>
      <c r="D264" t="s">
        <v>1295</v>
      </c>
    </row>
    <row r="265" spans="1:5" x14ac:dyDescent="0.25">
      <c r="A265" t="s">
        <v>1436</v>
      </c>
      <c r="B265" s="118">
        <v>480000</v>
      </c>
      <c r="C265" s="129">
        <v>42760</v>
      </c>
      <c r="D265" t="s">
        <v>1295</v>
      </c>
    </row>
    <row r="266" spans="1:5" x14ac:dyDescent="0.25">
      <c r="A266" s="135" t="s">
        <v>1437</v>
      </c>
      <c r="B266" s="118">
        <v>230000</v>
      </c>
      <c r="C266" s="129" t="s">
        <v>1251</v>
      </c>
      <c r="D266" t="s">
        <v>1295</v>
      </c>
    </row>
    <row r="267" spans="1:5" x14ac:dyDescent="0.25">
      <c r="A267" s="135" t="s">
        <v>1438</v>
      </c>
      <c r="B267" s="118">
        <v>230000</v>
      </c>
      <c r="C267" s="129" t="s">
        <v>1251</v>
      </c>
      <c r="D267" t="s">
        <v>1295</v>
      </c>
    </row>
    <row r="268" spans="1:5" x14ac:dyDescent="0.25">
      <c r="A268" s="135" t="s">
        <v>1439</v>
      </c>
      <c r="B268" s="118">
        <v>250000</v>
      </c>
      <c r="C268" s="129" t="s">
        <v>1251</v>
      </c>
      <c r="D268" t="s">
        <v>1295</v>
      </c>
    </row>
    <row r="269" spans="1:5" x14ac:dyDescent="0.25">
      <c r="A269" s="135" t="s">
        <v>1440</v>
      </c>
      <c r="B269" s="118">
        <v>300000</v>
      </c>
      <c r="C269" s="119">
        <v>42530</v>
      </c>
      <c r="D269" t="s">
        <v>1295</v>
      </c>
    </row>
    <row r="270" spans="1:5" x14ac:dyDescent="0.25">
      <c r="A270" s="135" t="s">
        <v>1441</v>
      </c>
      <c r="B270" s="118">
        <v>395000</v>
      </c>
      <c r="C270" s="119">
        <v>42426</v>
      </c>
      <c r="D270" t="s">
        <v>1291</v>
      </c>
    </row>
    <row r="271" spans="1:5" x14ac:dyDescent="0.25">
      <c r="A271" s="135" t="s">
        <v>1442</v>
      </c>
      <c r="B271" s="118">
        <v>420000</v>
      </c>
      <c r="C271" s="119">
        <v>42426</v>
      </c>
      <c r="D271" t="s">
        <v>1291</v>
      </c>
    </row>
    <row r="272" spans="1:5" x14ac:dyDescent="0.25">
      <c r="A272" s="135" t="s">
        <v>1443</v>
      </c>
      <c r="B272" s="118">
        <v>1305000</v>
      </c>
      <c r="C272" s="119">
        <v>42426</v>
      </c>
      <c r="D272" t="s">
        <v>1291</v>
      </c>
    </row>
    <row r="273" spans="1:4" x14ac:dyDescent="0.25">
      <c r="A273" s="135" t="s">
        <v>1444</v>
      </c>
      <c r="B273" s="118">
        <v>1600000</v>
      </c>
      <c r="C273" s="119">
        <v>42426</v>
      </c>
      <c r="D273" t="s">
        <v>1291</v>
      </c>
    </row>
    <row r="274" spans="1:4" x14ac:dyDescent="0.25">
      <c r="A274" s="135" t="s">
        <v>1445</v>
      </c>
      <c r="B274" s="118">
        <v>1900000</v>
      </c>
      <c r="C274" s="119" t="s">
        <v>1251</v>
      </c>
      <c r="D274" t="s">
        <v>1295</v>
      </c>
    </row>
    <row r="275" spans="1:4" x14ac:dyDescent="0.25">
      <c r="A275" s="136" t="s">
        <v>1446</v>
      </c>
      <c r="B275" s="118">
        <v>400000</v>
      </c>
      <c r="C275" s="119"/>
      <c r="D275" t="s">
        <v>1295</v>
      </c>
    </row>
    <row r="276" spans="1:4" x14ac:dyDescent="0.25">
      <c r="A276" s="136" t="s">
        <v>1447</v>
      </c>
      <c r="B276" s="118">
        <v>550000</v>
      </c>
      <c r="C276" s="119">
        <v>42530</v>
      </c>
      <c r="D276" t="s">
        <v>1295</v>
      </c>
    </row>
    <row r="277" spans="1:4" x14ac:dyDescent="0.25">
      <c r="A277" s="136" t="s">
        <v>1448</v>
      </c>
      <c r="B277" s="118">
        <v>600000</v>
      </c>
      <c r="C277" s="119">
        <v>42702</v>
      </c>
      <c r="D277" t="s">
        <v>1295</v>
      </c>
    </row>
    <row r="278" spans="1:4" x14ac:dyDescent="0.25">
      <c r="A278" t="s">
        <v>1449</v>
      </c>
      <c r="B278" s="118">
        <v>1050000</v>
      </c>
      <c r="C278" s="119">
        <v>42426</v>
      </c>
      <c r="D278" t="s">
        <v>1291</v>
      </c>
    </row>
    <row r="279" spans="1:4" x14ac:dyDescent="0.25">
      <c r="A279" t="s">
        <v>1450</v>
      </c>
      <c r="B279" s="118">
        <v>1680000</v>
      </c>
      <c r="C279" s="119">
        <v>42426</v>
      </c>
      <c r="D279" t="s">
        <v>1291</v>
      </c>
    </row>
    <row r="280" spans="1:4" x14ac:dyDescent="0.25">
      <c r="A280" t="s">
        <v>1451</v>
      </c>
      <c r="B280" s="118">
        <v>2000000</v>
      </c>
      <c r="C280" s="119" t="s">
        <v>1251</v>
      </c>
      <c r="D280" t="s">
        <v>1295</v>
      </c>
    </row>
    <row r="281" spans="1:4" x14ac:dyDescent="0.25">
      <c r="A281" t="s">
        <v>1452</v>
      </c>
      <c r="B281" s="118">
        <v>2300000</v>
      </c>
      <c r="C281" s="119">
        <v>42426</v>
      </c>
      <c r="D281" t="s">
        <v>1291</v>
      </c>
    </row>
    <row r="282" spans="1:4" x14ac:dyDescent="0.25">
      <c r="A282" t="s">
        <v>1453</v>
      </c>
      <c r="B282" s="118">
        <v>3500000</v>
      </c>
      <c r="C282" s="119">
        <v>42426</v>
      </c>
      <c r="D282" t="s">
        <v>1291</v>
      </c>
    </row>
    <row r="283" spans="1:4" x14ac:dyDescent="0.25">
      <c r="A283" t="s">
        <v>1454</v>
      </c>
      <c r="B283" s="118">
        <v>7000000</v>
      </c>
      <c r="C283" s="119" t="s">
        <v>1251</v>
      </c>
      <c r="D283" t="s">
        <v>1295</v>
      </c>
    </row>
    <row r="284" spans="1:4" x14ac:dyDescent="0.25">
      <c r="A284" t="s">
        <v>1455</v>
      </c>
      <c r="B284" s="118">
        <v>4800000</v>
      </c>
      <c r="C284" s="119" t="s">
        <v>1251</v>
      </c>
      <c r="D284" t="s">
        <v>1295</v>
      </c>
    </row>
    <row r="285" spans="1:4" x14ac:dyDescent="0.25">
      <c r="A285" s="135" t="s">
        <v>1456</v>
      </c>
      <c r="B285" s="118">
        <v>50000</v>
      </c>
      <c r="C285">
        <v>2015</v>
      </c>
      <c r="D285" t="s">
        <v>1457</v>
      </c>
    </row>
    <row r="286" spans="1:4" x14ac:dyDescent="0.25">
      <c r="A286" s="135" t="s">
        <v>1458</v>
      </c>
      <c r="B286" s="118">
        <v>50000</v>
      </c>
      <c r="C286">
        <v>2015</v>
      </c>
      <c r="D286" t="s">
        <v>1457</v>
      </c>
    </row>
    <row r="287" spans="1:4" x14ac:dyDescent="0.25">
      <c r="A287" s="135" t="s">
        <v>1459</v>
      </c>
      <c r="B287" s="118">
        <v>70000</v>
      </c>
      <c r="C287">
        <v>2015</v>
      </c>
      <c r="D287" t="s">
        <v>1457</v>
      </c>
    </row>
    <row r="288" spans="1:4" x14ac:dyDescent="0.25">
      <c r="A288" s="135" t="s">
        <v>1460</v>
      </c>
      <c r="B288" s="118">
        <v>80000</v>
      </c>
      <c r="C288">
        <v>2015</v>
      </c>
      <c r="D288" t="s">
        <v>1457</v>
      </c>
    </row>
    <row r="289" spans="1:4" x14ac:dyDescent="0.25">
      <c r="A289" s="135" t="s">
        <v>1461</v>
      </c>
      <c r="B289" s="118">
        <v>100000</v>
      </c>
      <c r="C289">
        <v>2015</v>
      </c>
      <c r="D289" t="s">
        <v>1457</v>
      </c>
    </row>
    <row r="290" spans="1:4" x14ac:dyDescent="0.25">
      <c r="A290" s="135" t="s">
        <v>1462</v>
      </c>
      <c r="B290" s="118">
        <v>130000</v>
      </c>
      <c r="C290">
        <v>2015</v>
      </c>
      <c r="D290" t="s">
        <v>1457</v>
      </c>
    </row>
    <row r="291" spans="1:4" x14ac:dyDescent="0.25">
      <c r="A291" s="135" t="s">
        <v>1463</v>
      </c>
      <c r="B291" s="118">
        <v>160000</v>
      </c>
      <c r="C291">
        <v>2015</v>
      </c>
      <c r="D291" t="s">
        <v>1457</v>
      </c>
    </row>
    <row r="292" spans="1:4" x14ac:dyDescent="0.25">
      <c r="A292" s="135" t="s">
        <v>1464</v>
      </c>
      <c r="B292" s="118">
        <v>200000</v>
      </c>
      <c r="C292">
        <v>2015</v>
      </c>
      <c r="D292" t="s">
        <v>1457</v>
      </c>
    </row>
    <row r="293" spans="1:4" x14ac:dyDescent="0.25">
      <c r="A293" s="135" t="s">
        <v>1465</v>
      </c>
      <c r="B293" s="118">
        <v>300000</v>
      </c>
      <c r="C293">
        <v>2015</v>
      </c>
      <c r="D293" t="s">
        <v>1457</v>
      </c>
    </row>
    <row r="294" spans="1:4" x14ac:dyDescent="0.25">
      <c r="A294" s="135" t="s">
        <v>1466</v>
      </c>
      <c r="B294" s="118">
        <v>350000</v>
      </c>
      <c r="C294">
        <v>2015</v>
      </c>
      <c r="D294" t="s">
        <v>1457</v>
      </c>
    </row>
    <row r="295" spans="1:4" x14ac:dyDescent="0.25">
      <c r="A295" s="135" t="s">
        <v>1467</v>
      </c>
      <c r="B295" s="118">
        <v>380000</v>
      </c>
      <c r="C295">
        <v>2015</v>
      </c>
      <c r="D295" t="s">
        <v>1457</v>
      </c>
    </row>
    <row r="296" spans="1:4" x14ac:dyDescent="0.25">
      <c r="A296" t="s">
        <v>1468</v>
      </c>
      <c r="B296" s="118">
        <f>162000*1.1</f>
        <v>178200</v>
      </c>
      <c r="C296" s="119">
        <v>42376</v>
      </c>
      <c r="D296" t="s">
        <v>1291</v>
      </c>
    </row>
    <row r="297" spans="1:4" x14ac:dyDescent="0.25">
      <c r="A297" t="s">
        <v>1469</v>
      </c>
      <c r="B297" s="118">
        <v>200000</v>
      </c>
      <c r="C297" s="119">
        <v>42376</v>
      </c>
      <c r="D297" t="s">
        <v>1291</v>
      </c>
    </row>
    <row r="298" spans="1:4" x14ac:dyDescent="0.25">
      <c r="A298" t="s">
        <v>1470</v>
      </c>
      <c r="B298" s="118">
        <v>250000</v>
      </c>
      <c r="C298" s="119">
        <v>42376</v>
      </c>
      <c r="D298" t="s">
        <v>1291</v>
      </c>
    </row>
    <row r="299" spans="1:4" x14ac:dyDescent="0.25">
      <c r="A299" s="135" t="s">
        <v>1471</v>
      </c>
      <c r="B299" s="118">
        <v>30000</v>
      </c>
      <c r="C299">
        <v>2015</v>
      </c>
      <c r="D299" t="s">
        <v>1472</v>
      </c>
    </row>
    <row r="300" spans="1:4" x14ac:dyDescent="0.25">
      <c r="A300" s="135" t="s">
        <v>1473</v>
      </c>
      <c r="B300" s="118">
        <v>30000</v>
      </c>
      <c r="C300">
        <v>2015</v>
      </c>
      <c r="D300" t="s">
        <v>1472</v>
      </c>
    </row>
    <row r="301" spans="1:4" x14ac:dyDescent="0.25">
      <c r="A301" s="135" t="s">
        <v>1474</v>
      </c>
      <c r="B301" s="118">
        <v>35000</v>
      </c>
      <c r="C301">
        <v>2015</v>
      </c>
      <c r="D301" t="s">
        <v>1472</v>
      </c>
    </row>
    <row r="302" spans="1:4" x14ac:dyDescent="0.25">
      <c r="A302" s="135" t="s">
        <v>1475</v>
      </c>
      <c r="B302" s="118">
        <v>40000</v>
      </c>
      <c r="C302">
        <v>2015</v>
      </c>
      <c r="D302" t="s">
        <v>1472</v>
      </c>
    </row>
    <row r="303" spans="1:4" x14ac:dyDescent="0.25">
      <c r="A303" s="135" t="s">
        <v>1476</v>
      </c>
      <c r="B303" s="118">
        <v>50000</v>
      </c>
      <c r="C303">
        <v>2015</v>
      </c>
      <c r="D303" t="s">
        <v>1472</v>
      </c>
    </row>
    <row r="304" spans="1:4" x14ac:dyDescent="0.25">
      <c r="A304" s="135" t="s">
        <v>1477</v>
      </c>
      <c r="B304" s="118">
        <v>60000</v>
      </c>
      <c r="C304">
        <v>2015</v>
      </c>
      <c r="D304" t="s">
        <v>1472</v>
      </c>
    </row>
    <row r="305" spans="1:4" x14ac:dyDescent="0.25">
      <c r="A305" s="135" t="s">
        <v>1478</v>
      </c>
      <c r="B305" s="118">
        <v>70000</v>
      </c>
      <c r="C305">
        <v>2015</v>
      </c>
      <c r="D305" t="s">
        <v>1472</v>
      </c>
    </row>
    <row r="306" spans="1:4" x14ac:dyDescent="0.25">
      <c r="A306" s="135" t="s">
        <v>1479</v>
      </c>
      <c r="B306" s="118">
        <v>80000</v>
      </c>
      <c r="C306">
        <v>2015</v>
      </c>
      <c r="D306" t="s">
        <v>1472</v>
      </c>
    </row>
    <row r="307" spans="1:4" x14ac:dyDescent="0.25">
      <c r="A307" s="135" t="s">
        <v>1480</v>
      </c>
      <c r="B307" s="118">
        <v>90000</v>
      </c>
      <c r="C307">
        <v>2015</v>
      </c>
      <c r="D307" t="s">
        <v>1472</v>
      </c>
    </row>
    <row r="308" spans="1:4" x14ac:dyDescent="0.25">
      <c r="A308" s="135" t="s">
        <v>1481</v>
      </c>
      <c r="B308" s="118">
        <v>100000</v>
      </c>
      <c r="C308">
        <v>2015</v>
      </c>
      <c r="D308" t="s">
        <v>1472</v>
      </c>
    </row>
    <row r="309" spans="1:4" x14ac:dyDescent="0.25">
      <c r="A309" s="135" t="s">
        <v>1482</v>
      </c>
      <c r="B309" s="118">
        <v>120000</v>
      </c>
      <c r="C309">
        <v>2015</v>
      </c>
      <c r="D309" t="s">
        <v>1472</v>
      </c>
    </row>
    <row r="310" spans="1:4" x14ac:dyDescent="0.25">
      <c r="A310" s="135" t="s">
        <v>1483</v>
      </c>
      <c r="B310" s="118">
        <v>30000</v>
      </c>
      <c r="C310">
        <v>2015</v>
      </c>
      <c r="D310" t="s">
        <v>1472</v>
      </c>
    </row>
    <row r="311" spans="1:4" x14ac:dyDescent="0.25">
      <c r="A311" s="135" t="s">
        <v>1484</v>
      </c>
      <c r="B311" s="118">
        <v>35000</v>
      </c>
      <c r="C311">
        <v>2015</v>
      </c>
      <c r="D311" t="s">
        <v>1472</v>
      </c>
    </row>
    <row r="312" spans="1:4" x14ac:dyDescent="0.25">
      <c r="A312" s="135" t="s">
        <v>1485</v>
      </c>
      <c r="B312" s="118">
        <v>45000</v>
      </c>
      <c r="C312">
        <v>2015</v>
      </c>
      <c r="D312" t="s">
        <v>1472</v>
      </c>
    </row>
    <row r="313" spans="1:4" x14ac:dyDescent="0.25">
      <c r="A313" s="135" t="s">
        <v>1486</v>
      </c>
      <c r="B313" s="118">
        <v>50000</v>
      </c>
      <c r="C313">
        <v>2015</v>
      </c>
      <c r="D313" t="s">
        <v>1472</v>
      </c>
    </row>
    <row r="314" spans="1:4" x14ac:dyDescent="0.25">
      <c r="A314" s="135" t="s">
        <v>1487</v>
      </c>
      <c r="B314" s="118">
        <v>60000</v>
      </c>
      <c r="C314">
        <v>2015</v>
      </c>
      <c r="D314" t="s">
        <v>1472</v>
      </c>
    </row>
    <row r="315" spans="1:4" x14ac:dyDescent="0.25">
      <c r="A315" s="135" t="s">
        <v>1488</v>
      </c>
      <c r="B315" s="118">
        <v>70000</v>
      </c>
      <c r="C315">
        <v>2015</v>
      </c>
      <c r="D315" t="s">
        <v>1472</v>
      </c>
    </row>
    <row r="316" spans="1:4" x14ac:dyDescent="0.25">
      <c r="A316" s="135" t="s">
        <v>1489</v>
      </c>
      <c r="B316" s="118">
        <v>80000</v>
      </c>
      <c r="C316">
        <v>2015</v>
      </c>
      <c r="D316" t="s">
        <v>1472</v>
      </c>
    </row>
    <row r="317" spans="1:4" x14ac:dyDescent="0.25">
      <c r="A317" s="135" t="s">
        <v>1490</v>
      </c>
      <c r="B317" s="118">
        <v>100000</v>
      </c>
      <c r="C317">
        <v>2015</v>
      </c>
      <c r="D317" t="s">
        <v>1472</v>
      </c>
    </row>
    <row r="318" spans="1:4" x14ac:dyDescent="0.25">
      <c r="A318" s="135" t="s">
        <v>1491</v>
      </c>
      <c r="B318" s="118">
        <v>120000</v>
      </c>
      <c r="C318">
        <v>2015</v>
      </c>
      <c r="D318" t="s">
        <v>1472</v>
      </c>
    </row>
    <row r="319" spans="1:4" x14ac:dyDescent="0.25">
      <c r="A319" s="135" t="s">
        <v>1492</v>
      </c>
      <c r="B319" s="118">
        <v>150000</v>
      </c>
      <c r="C319">
        <v>2015</v>
      </c>
      <c r="D319" t="s">
        <v>1472</v>
      </c>
    </row>
    <row r="320" spans="1:4" x14ac:dyDescent="0.25">
      <c r="A320" s="135" t="s">
        <v>1493</v>
      </c>
      <c r="B320" s="118">
        <v>180000</v>
      </c>
      <c r="C320">
        <v>2015</v>
      </c>
      <c r="D320" t="s">
        <v>1472</v>
      </c>
    </row>
    <row r="321" spans="1:4" x14ac:dyDescent="0.25">
      <c r="A321" s="135" t="s">
        <v>1494</v>
      </c>
      <c r="B321" s="118">
        <v>200000</v>
      </c>
      <c r="C321">
        <v>2015</v>
      </c>
      <c r="D321" t="s">
        <v>1472</v>
      </c>
    </row>
    <row r="322" spans="1:4" x14ac:dyDescent="0.25">
      <c r="A322" s="135" t="s">
        <v>1495</v>
      </c>
      <c r="B322" s="118">
        <v>250000</v>
      </c>
      <c r="C322">
        <v>2015</v>
      </c>
      <c r="D322" t="s">
        <v>1472</v>
      </c>
    </row>
    <row r="323" spans="1:4" x14ac:dyDescent="0.25">
      <c r="A323" s="135" t="s">
        <v>1496</v>
      </c>
      <c r="B323" s="118">
        <v>300000</v>
      </c>
      <c r="C323">
        <v>2015</v>
      </c>
      <c r="D323" t="s">
        <v>1472</v>
      </c>
    </row>
    <row r="324" spans="1:4" x14ac:dyDescent="0.25">
      <c r="A324" s="135" t="s">
        <v>1497</v>
      </c>
      <c r="B324" s="118">
        <f>B312</f>
        <v>45000</v>
      </c>
      <c r="C324">
        <v>2015</v>
      </c>
      <c r="D324" t="s">
        <v>1472</v>
      </c>
    </row>
    <row r="325" spans="1:4" x14ac:dyDescent="0.25">
      <c r="A325" s="135" t="s">
        <v>1498</v>
      </c>
      <c r="B325" s="118">
        <v>50000</v>
      </c>
      <c r="C325">
        <v>2015</v>
      </c>
      <c r="D325" t="s">
        <v>1472</v>
      </c>
    </row>
    <row r="326" spans="1:4" x14ac:dyDescent="0.25">
      <c r="A326" s="135" t="s">
        <v>1499</v>
      </c>
      <c r="B326" s="118">
        <f>B314</f>
        <v>60000</v>
      </c>
      <c r="C326">
        <v>2015</v>
      </c>
      <c r="D326" t="s">
        <v>1472</v>
      </c>
    </row>
    <row r="327" spans="1:4" x14ac:dyDescent="0.25">
      <c r="A327" s="135" t="s">
        <v>1500</v>
      </c>
      <c r="B327" s="118">
        <f>B316</f>
        <v>80000</v>
      </c>
      <c r="C327">
        <v>2015</v>
      </c>
      <c r="D327" t="s">
        <v>1472</v>
      </c>
    </row>
    <row r="328" spans="1:4" x14ac:dyDescent="0.25">
      <c r="A328" s="135" t="s">
        <v>1501</v>
      </c>
      <c r="B328" s="118">
        <f>B317</f>
        <v>100000</v>
      </c>
      <c r="C328">
        <v>2015</v>
      </c>
      <c r="D328" t="s">
        <v>1472</v>
      </c>
    </row>
    <row r="329" spans="1:4" x14ac:dyDescent="0.25">
      <c r="A329" s="135" t="s">
        <v>1502</v>
      </c>
      <c r="B329" s="118">
        <v>120000</v>
      </c>
      <c r="C329">
        <v>2015</v>
      </c>
      <c r="D329" t="s">
        <v>1472</v>
      </c>
    </row>
    <row r="330" spans="1:4" x14ac:dyDescent="0.25">
      <c r="A330" s="135" t="s">
        <v>1503</v>
      </c>
      <c r="B330" s="118">
        <v>140000</v>
      </c>
      <c r="C330">
        <v>2015</v>
      </c>
      <c r="D330" t="s">
        <v>1472</v>
      </c>
    </row>
    <row r="331" spans="1:4" x14ac:dyDescent="0.25">
      <c r="A331" s="135" t="s">
        <v>1504</v>
      </c>
      <c r="B331" s="118">
        <v>150000</v>
      </c>
      <c r="C331">
        <v>2015</v>
      </c>
      <c r="D331" t="s">
        <v>1472</v>
      </c>
    </row>
    <row r="332" spans="1:4" x14ac:dyDescent="0.25">
      <c r="A332" s="135" t="s">
        <v>1505</v>
      </c>
      <c r="B332" s="118">
        <v>160000</v>
      </c>
      <c r="C332">
        <v>2015</v>
      </c>
      <c r="D332" t="s">
        <v>1472</v>
      </c>
    </row>
    <row r="333" spans="1:4" x14ac:dyDescent="0.25">
      <c r="A333" s="135" t="s">
        <v>1506</v>
      </c>
      <c r="B333" s="118">
        <v>180000</v>
      </c>
      <c r="C333">
        <v>2015</v>
      </c>
      <c r="D333" t="s">
        <v>1472</v>
      </c>
    </row>
    <row r="334" spans="1:4" x14ac:dyDescent="0.25">
      <c r="A334" s="135" t="s">
        <v>1507</v>
      </c>
      <c r="B334" s="118">
        <v>45000</v>
      </c>
      <c r="C334">
        <v>2015</v>
      </c>
      <c r="D334" t="s">
        <v>1472</v>
      </c>
    </row>
    <row r="335" spans="1:4" x14ac:dyDescent="0.25">
      <c r="A335" s="135" t="s">
        <v>1508</v>
      </c>
      <c r="B335" s="118">
        <v>40000</v>
      </c>
      <c r="C335">
        <v>2015</v>
      </c>
      <c r="D335" t="s">
        <v>1472</v>
      </c>
    </row>
    <row r="336" spans="1:4" x14ac:dyDescent="0.25">
      <c r="A336" s="135" t="s">
        <v>1509</v>
      </c>
      <c r="B336" s="118">
        <v>50000</v>
      </c>
      <c r="C336">
        <v>2015</v>
      </c>
      <c r="D336" t="s">
        <v>1472</v>
      </c>
    </row>
    <row r="337" spans="1:4" x14ac:dyDescent="0.25">
      <c r="A337" s="135" t="s">
        <v>1510</v>
      </c>
      <c r="B337" s="118">
        <v>60000</v>
      </c>
      <c r="C337">
        <v>2015</v>
      </c>
      <c r="D337" t="s">
        <v>1472</v>
      </c>
    </row>
    <row r="338" spans="1:4" x14ac:dyDescent="0.25">
      <c r="A338" s="135" t="s">
        <v>1511</v>
      </c>
      <c r="B338" s="118">
        <v>80000</v>
      </c>
      <c r="C338">
        <v>2015</v>
      </c>
      <c r="D338" t="s">
        <v>1472</v>
      </c>
    </row>
    <row r="339" spans="1:4" x14ac:dyDescent="0.25">
      <c r="A339" s="135" t="s">
        <v>1512</v>
      </c>
      <c r="B339" s="118">
        <v>100000</v>
      </c>
      <c r="C339">
        <v>2015</v>
      </c>
      <c r="D339" t="s">
        <v>1472</v>
      </c>
    </row>
    <row r="340" spans="1:4" x14ac:dyDescent="0.25">
      <c r="A340" s="135" t="s">
        <v>1513</v>
      </c>
      <c r="B340" s="118">
        <v>120000</v>
      </c>
      <c r="C340">
        <v>2015</v>
      </c>
      <c r="D340" t="s">
        <v>1472</v>
      </c>
    </row>
    <row r="341" spans="1:4" x14ac:dyDescent="0.25">
      <c r="A341" s="135" t="s">
        <v>1514</v>
      </c>
      <c r="B341" s="118">
        <v>150000</v>
      </c>
      <c r="C341">
        <v>2017</v>
      </c>
      <c r="D341" t="s">
        <v>1472</v>
      </c>
    </row>
    <row r="342" spans="1:4" x14ac:dyDescent="0.25">
      <c r="A342" s="135" t="s">
        <v>1515</v>
      </c>
      <c r="B342" s="118">
        <v>160000</v>
      </c>
      <c r="C342">
        <v>2015</v>
      </c>
      <c r="D342" t="s">
        <v>1472</v>
      </c>
    </row>
    <row r="343" spans="1:4" x14ac:dyDescent="0.25">
      <c r="A343" s="135" t="s">
        <v>1516</v>
      </c>
      <c r="B343" s="118">
        <v>200000</v>
      </c>
      <c r="C343" s="137" t="s">
        <v>1251</v>
      </c>
      <c r="D343" t="s">
        <v>1472</v>
      </c>
    </row>
    <row r="344" spans="1:4" x14ac:dyDescent="0.25">
      <c r="A344" s="135" t="s">
        <v>1517</v>
      </c>
      <c r="B344" s="118">
        <v>250000</v>
      </c>
      <c r="C344" s="137" t="s">
        <v>1251</v>
      </c>
      <c r="D344" t="s">
        <v>1472</v>
      </c>
    </row>
    <row r="345" spans="1:4" x14ac:dyDescent="0.25">
      <c r="A345" s="135" t="s">
        <v>1518</v>
      </c>
      <c r="B345" s="118">
        <v>300000</v>
      </c>
      <c r="C345" s="137" t="s">
        <v>1251</v>
      </c>
      <c r="D345" t="s">
        <v>1472</v>
      </c>
    </row>
    <row r="346" spans="1:4" x14ac:dyDescent="0.25">
      <c r="A346" s="135" t="s">
        <v>1519</v>
      </c>
      <c r="B346" s="118">
        <v>360000</v>
      </c>
      <c r="C346" s="137" t="s">
        <v>1251</v>
      </c>
      <c r="D346" t="s">
        <v>1472</v>
      </c>
    </row>
    <row r="347" spans="1:4" x14ac:dyDescent="0.25">
      <c r="A347" s="16" t="s">
        <v>1520</v>
      </c>
      <c r="B347" s="118">
        <v>120000</v>
      </c>
      <c r="C347">
        <v>2015</v>
      </c>
      <c r="D347" t="s">
        <v>1457</v>
      </c>
    </row>
    <row r="348" spans="1:4" x14ac:dyDescent="0.25">
      <c r="A348" s="16" t="s">
        <v>1521</v>
      </c>
      <c r="B348" s="118">
        <v>120000</v>
      </c>
      <c r="C348">
        <v>2015</v>
      </c>
      <c r="D348" t="s">
        <v>1457</v>
      </c>
    </row>
    <row r="349" spans="1:4" x14ac:dyDescent="0.25">
      <c r="A349" s="16" t="s">
        <v>1522</v>
      </c>
      <c r="B349" s="118">
        <v>120000</v>
      </c>
      <c r="C349">
        <v>2015</v>
      </c>
      <c r="D349" t="s">
        <v>1457</v>
      </c>
    </row>
    <row r="350" spans="1:4" x14ac:dyDescent="0.25">
      <c r="A350" s="16" t="s">
        <v>1523</v>
      </c>
      <c r="B350" s="118">
        <v>150000</v>
      </c>
      <c r="C350">
        <v>2015</v>
      </c>
      <c r="D350" t="s">
        <v>1457</v>
      </c>
    </row>
    <row r="351" spans="1:4" x14ac:dyDescent="0.25">
      <c r="A351" s="16" t="s">
        <v>1524</v>
      </c>
      <c r="B351" s="118">
        <v>200000</v>
      </c>
      <c r="C351">
        <v>2015</v>
      </c>
      <c r="D351" t="s">
        <v>1457</v>
      </c>
    </row>
    <row r="352" spans="1:4" x14ac:dyDescent="0.25">
      <c r="A352" s="16" t="s">
        <v>1525</v>
      </c>
      <c r="B352" s="118">
        <v>230000</v>
      </c>
      <c r="C352">
        <v>2015</v>
      </c>
      <c r="D352" t="s">
        <v>1457</v>
      </c>
    </row>
    <row r="353" spans="1:4" x14ac:dyDescent="0.25">
      <c r="A353" s="16" t="s">
        <v>1526</v>
      </c>
      <c r="B353" s="118">
        <v>250000</v>
      </c>
      <c r="C353">
        <v>2015</v>
      </c>
      <c r="D353" t="s">
        <v>1457</v>
      </c>
    </row>
    <row r="354" spans="1:4" x14ac:dyDescent="0.25">
      <c r="A354" s="16" t="s">
        <v>1527</v>
      </c>
      <c r="B354" s="118">
        <v>530000</v>
      </c>
      <c r="C354">
        <v>2015</v>
      </c>
      <c r="D354" t="s">
        <v>1457</v>
      </c>
    </row>
    <row r="355" spans="1:4" x14ac:dyDescent="0.25">
      <c r="A355" s="16" t="s">
        <v>1528</v>
      </c>
      <c r="B355" s="118">
        <v>600000</v>
      </c>
      <c r="C355">
        <v>2015</v>
      </c>
      <c r="D355" t="s">
        <v>1457</v>
      </c>
    </row>
    <row r="356" spans="1:4" x14ac:dyDescent="0.25">
      <c r="A356" s="16" t="s">
        <v>1529</v>
      </c>
      <c r="B356" s="118">
        <v>620000</v>
      </c>
      <c r="C356">
        <v>2015</v>
      </c>
      <c r="D356" t="s">
        <v>1457</v>
      </c>
    </row>
    <row r="357" spans="1:4" x14ac:dyDescent="0.25">
      <c r="A357" s="16" t="s">
        <v>1530</v>
      </c>
      <c r="B357" s="118">
        <v>680000</v>
      </c>
      <c r="C357">
        <v>2015</v>
      </c>
      <c r="D357" t="s">
        <v>1457</v>
      </c>
    </row>
    <row r="358" spans="1:4" x14ac:dyDescent="0.25">
      <c r="A358" s="16" t="s">
        <v>1531</v>
      </c>
      <c r="B358" s="118">
        <v>720000</v>
      </c>
      <c r="C358">
        <v>2015</v>
      </c>
      <c r="D358" t="s">
        <v>1457</v>
      </c>
    </row>
    <row r="359" spans="1:4" x14ac:dyDescent="0.25">
      <c r="A359" s="16" t="s">
        <v>1532</v>
      </c>
      <c r="B359" s="118">
        <v>750000</v>
      </c>
      <c r="C359" t="s">
        <v>1251</v>
      </c>
      <c r="D359" t="s">
        <v>1295</v>
      </c>
    </row>
    <row r="360" spans="1:4" x14ac:dyDescent="0.25">
      <c r="A360" s="16" t="s">
        <v>1533</v>
      </c>
      <c r="B360" s="118">
        <v>980000</v>
      </c>
      <c r="C360" t="s">
        <v>1251</v>
      </c>
      <c r="D360" t="s">
        <v>1295</v>
      </c>
    </row>
    <row r="361" spans="1:4" x14ac:dyDescent="0.25">
      <c r="A361" s="16" t="s">
        <v>1534</v>
      </c>
      <c r="B361" s="118">
        <v>200000</v>
      </c>
      <c r="C361">
        <v>2015</v>
      </c>
      <c r="D361" t="s">
        <v>1457</v>
      </c>
    </row>
    <row r="362" spans="1:4" x14ac:dyDescent="0.25">
      <c r="A362" s="16" t="s">
        <v>1535</v>
      </c>
      <c r="B362" s="118">
        <v>215000</v>
      </c>
      <c r="C362">
        <v>2015</v>
      </c>
      <c r="D362" t="s">
        <v>1457</v>
      </c>
    </row>
    <row r="363" spans="1:4" x14ac:dyDescent="0.25">
      <c r="A363" s="16" t="s">
        <v>1536</v>
      </c>
      <c r="B363" s="118">
        <v>230000</v>
      </c>
      <c r="C363">
        <v>2015</v>
      </c>
      <c r="D363" t="s">
        <v>1457</v>
      </c>
    </row>
    <row r="364" spans="1:4" x14ac:dyDescent="0.25">
      <c r="A364" s="16" t="s">
        <v>1537</v>
      </c>
      <c r="B364" s="118">
        <v>310000</v>
      </c>
      <c r="C364">
        <v>2015</v>
      </c>
      <c r="D364" t="s">
        <v>1457</v>
      </c>
    </row>
    <row r="365" spans="1:4" x14ac:dyDescent="0.25">
      <c r="A365" s="16" t="s">
        <v>1538</v>
      </c>
      <c r="B365" s="118">
        <v>450000</v>
      </c>
      <c r="C365">
        <v>2015</v>
      </c>
      <c r="D365" t="s">
        <v>1457</v>
      </c>
    </row>
    <row r="366" spans="1:4" x14ac:dyDescent="0.25">
      <c r="A366" s="16" t="s">
        <v>1539</v>
      </c>
      <c r="B366" s="118">
        <v>500000</v>
      </c>
      <c r="C366">
        <v>2015</v>
      </c>
      <c r="D366" t="s">
        <v>1457</v>
      </c>
    </row>
    <row r="367" spans="1:4" x14ac:dyDescent="0.25">
      <c r="A367" s="16" t="s">
        <v>1540</v>
      </c>
      <c r="B367" s="118">
        <v>530000</v>
      </c>
      <c r="C367">
        <v>2015</v>
      </c>
      <c r="D367" t="s">
        <v>1457</v>
      </c>
    </row>
    <row r="368" spans="1:4" x14ac:dyDescent="0.25">
      <c r="A368" s="16" t="s">
        <v>1541</v>
      </c>
      <c r="B368" s="118">
        <v>550000</v>
      </c>
      <c r="C368" s="137" t="s">
        <v>1251</v>
      </c>
      <c r="D368" t="s">
        <v>1457</v>
      </c>
    </row>
    <row r="369" spans="1:4" x14ac:dyDescent="0.25">
      <c r="A369" s="16" t="s">
        <v>1542</v>
      </c>
      <c r="B369" s="118">
        <v>650000</v>
      </c>
      <c r="C369" s="137" t="s">
        <v>1251</v>
      </c>
      <c r="D369" t="s">
        <v>1457</v>
      </c>
    </row>
    <row r="370" spans="1:4" x14ac:dyDescent="0.25">
      <c r="A370" s="16" t="s">
        <v>1543</v>
      </c>
      <c r="B370" s="118">
        <v>760000</v>
      </c>
      <c r="C370" s="137" t="s">
        <v>1251</v>
      </c>
      <c r="D370" t="s">
        <v>1457</v>
      </c>
    </row>
    <row r="371" spans="1:4" x14ac:dyDescent="0.25">
      <c r="A371" s="16" t="s">
        <v>1544</v>
      </c>
      <c r="B371" s="118">
        <v>880000</v>
      </c>
      <c r="C371" s="137" t="s">
        <v>1286</v>
      </c>
      <c r="D371" t="s">
        <v>1457</v>
      </c>
    </row>
    <row r="372" spans="1:4" x14ac:dyDescent="0.25">
      <c r="A372" s="16" t="s">
        <v>1545</v>
      </c>
      <c r="B372" s="118">
        <v>1000000</v>
      </c>
      <c r="C372" s="137" t="s">
        <v>1251</v>
      </c>
      <c r="D372" t="s">
        <v>1457</v>
      </c>
    </row>
    <row r="373" spans="1:4" x14ac:dyDescent="0.25">
      <c r="A373" s="135" t="s">
        <v>1546</v>
      </c>
      <c r="B373" s="118">
        <v>180000</v>
      </c>
      <c r="C373" s="119">
        <v>42402</v>
      </c>
      <c r="D373" t="s">
        <v>1547</v>
      </c>
    </row>
    <row r="374" spans="1:4" x14ac:dyDescent="0.25">
      <c r="A374" s="135" t="s">
        <v>1548</v>
      </c>
      <c r="B374" s="118">
        <v>260000</v>
      </c>
      <c r="C374" s="119">
        <v>42643</v>
      </c>
      <c r="D374" t="s">
        <v>1547</v>
      </c>
    </row>
    <row r="375" spans="1:4" x14ac:dyDescent="0.25">
      <c r="A375" s="135" t="s">
        <v>1549</v>
      </c>
      <c r="B375" s="118">
        <v>330000</v>
      </c>
      <c r="C375" s="119">
        <v>42643</v>
      </c>
      <c r="D375" t="s">
        <v>1547</v>
      </c>
    </row>
    <row r="376" spans="1:4" x14ac:dyDescent="0.25">
      <c r="A376" s="135" t="s">
        <v>1550</v>
      </c>
      <c r="B376" s="118">
        <v>480000</v>
      </c>
      <c r="C376" s="119">
        <v>42402</v>
      </c>
      <c r="D376" t="s">
        <v>1547</v>
      </c>
    </row>
    <row r="377" spans="1:4" x14ac:dyDescent="0.25">
      <c r="A377" s="135" t="s">
        <v>1551</v>
      </c>
      <c r="B377" s="118">
        <v>480000</v>
      </c>
      <c r="C377" s="119" t="s">
        <v>55</v>
      </c>
      <c r="D377" t="s">
        <v>1547</v>
      </c>
    </row>
    <row r="378" spans="1:4" x14ac:dyDescent="0.25">
      <c r="A378" s="135" t="s">
        <v>1552</v>
      </c>
      <c r="B378" s="118">
        <v>480000</v>
      </c>
      <c r="C378" s="119" t="s">
        <v>1251</v>
      </c>
      <c r="D378" t="s">
        <v>1547</v>
      </c>
    </row>
    <row r="379" spans="1:4" x14ac:dyDescent="0.25">
      <c r="A379" s="135" t="s">
        <v>1553</v>
      </c>
      <c r="B379" s="118">
        <v>560000</v>
      </c>
      <c r="C379" s="119" t="s">
        <v>1251</v>
      </c>
      <c r="D379" t="s">
        <v>1547</v>
      </c>
    </row>
    <row r="380" spans="1:4" x14ac:dyDescent="0.25">
      <c r="A380" s="135" t="s">
        <v>1554</v>
      </c>
      <c r="B380" s="118">
        <v>180000</v>
      </c>
      <c r="C380" s="119">
        <v>42402</v>
      </c>
      <c r="D380" t="s">
        <v>1547</v>
      </c>
    </row>
    <row r="381" spans="1:4" x14ac:dyDescent="0.25">
      <c r="A381" s="135" t="s">
        <v>1555</v>
      </c>
      <c r="B381" s="118">
        <v>260000</v>
      </c>
      <c r="C381" s="119">
        <v>42402</v>
      </c>
      <c r="D381" t="s">
        <v>1547</v>
      </c>
    </row>
    <row r="382" spans="1:4" x14ac:dyDescent="0.25">
      <c r="A382" s="135" t="s">
        <v>1556</v>
      </c>
      <c r="B382" s="118">
        <v>330000</v>
      </c>
      <c r="C382" s="119">
        <v>42402</v>
      </c>
      <c r="D382" t="s">
        <v>1547</v>
      </c>
    </row>
    <row r="383" spans="1:4" x14ac:dyDescent="0.25">
      <c r="A383" s="135" t="s">
        <v>1557</v>
      </c>
      <c r="B383" s="118">
        <v>400000</v>
      </c>
      <c r="C383" s="119" t="s">
        <v>1251</v>
      </c>
      <c r="D383" t="s">
        <v>1547</v>
      </c>
    </row>
    <row r="384" spans="1:4" x14ac:dyDescent="0.25">
      <c r="A384" s="135" t="s">
        <v>1558</v>
      </c>
      <c r="B384" s="118">
        <v>480000</v>
      </c>
      <c r="C384" s="119">
        <v>42402</v>
      </c>
      <c r="D384" t="s">
        <v>1547</v>
      </c>
    </row>
    <row r="385" spans="1:4" x14ac:dyDescent="0.25">
      <c r="A385" s="135" t="s">
        <v>1559</v>
      </c>
      <c r="B385" s="118">
        <v>50000</v>
      </c>
      <c r="C385" s="119" t="s">
        <v>1251</v>
      </c>
      <c r="D385" t="s">
        <v>1547</v>
      </c>
    </row>
    <row r="386" spans="1:4" x14ac:dyDescent="0.25">
      <c r="A386" s="135" t="s">
        <v>1560</v>
      </c>
      <c r="B386" s="118">
        <v>50000</v>
      </c>
      <c r="C386" s="119" t="s">
        <v>1251</v>
      </c>
      <c r="D386" t="s">
        <v>1547</v>
      </c>
    </row>
    <row r="387" spans="1:4" x14ac:dyDescent="0.25">
      <c r="A387" s="135" t="s">
        <v>1561</v>
      </c>
      <c r="B387" s="118">
        <v>50000</v>
      </c>
      <c r="C387" s="119" t="s">
        <v>1251</v>
      </c>
      <c r="D387" t="s">
        <v>1547</v>
      </c>
    </row>
    <row r="388" spans="1:4" x14ac:dyDescent="0.25">
      <c r="A388" s="135" t="s">
        <v>1562</v>
      </c>
      <c r="B388" s="118">
        <v>50000</v>
      </c>
      <c r="C388" s="119">
        <v>42402</v>
      </c>
      <c r="D388" t="s">
        <v>1547</v>
      </c>
    </row>
    <row r="389" spans="1:4" x14ac:dyDescent="0.25">
      <c r="A389" s="135" t="s">
        <v>1563</v>
      </c>
      <c r="B389" s="118">
        <v>100000</v>
      </c>
      <c r="C389" s="129" t="s">
        <v>1251</v>
      </c>
      <c r="D389" t="s">
        <v>1547</v>
      </c>
    </row>
    <row r="390" spans="1:4" x14ac:dyDescent="0.25">
      <c r="A390" s="135" t="s">
        <v>1564</v>
      </c>
      <c r="B390" s="118">
        <v>220000</v>
      </c>
      <c r="C390" s="129" t="s">
        <v>1251</v>
      </c>
      <c r="D390" t="s">
        <v>1547</v>
      </c>
    </row>
    <row r="391" spans="1:4" x14ac:dyDescent="0.25">
      <c r="A391" s="135" t="s">
        <v>1565</v>
      </c>
      <c r="B391" s="118">
        <v>260000</v>
      </c>
      <c r="C391" s="129" t="s">
        <v>1251</v>
      </c>
      <c r="D391" t="s">
        <v>1547</v>
      </c>
    </row>
    <row r="392" spans="1:4" x14ac:dyDescent="0.25">
      <c r="A392" s="135" t="s">
        <v>1566</v>
      </c>
      <c r="B392" s="118">
        <v>310000</v>
      </c>
      <c r="C392" s="129" t="s">
        <v>1251</v>
      </c>
      <c r="D392" t="s">
        <v>1547</v>
      </c>
    </row>
    <row r="393" spans="1:4" x14ac:dyDescent="0.25">
      <c r="A393" s="16" t="s">
        <v>937</v>
      </c>
      <c r="B393" s="118">
        <v>80000</v>
      </c>
      <c r="C393" s="119" t="s">
        <v>1286</v>
      </c>
      <c r="D393" t="s">
        <v>1295</v>
      </c>
    </row>
    <row r="394" spans="1:4" x14ac:dyDescent="0.25">
      <c r="A394" s="16" t="s">
        <v>1567</v>
      </c>
      <c r="B394" s="118">
        <v>170000</v>
      </c>
      <c r="C394" s="119" t="s">
        <v>1251</v>
      </c>
      <c r="D394" t="s">
        <v>1295</v>
      </c>
    </row>
    <row r="395" spans="1:4" x14ac:dyDescent="0.25">
      <c r="A395" s="16" t="s">
        <v>1568</v>
      </c>
      <c r="B395" s="118">
        <v>170000</v>
      </c>
      <c r="C395" s="119" t="s">
        <v>1286</v>
      </c>
      <c r="D395" t="s">
        <v>1295</v>
      </c>
    </row>
    <row r="396" spans="1:4" x14ac:dyDescent="0.25">
      <c r="A396" s="16" t="s">
        <v>1569</v>
      </c>
      <c r="B396" s="118">
        <v>280000</v>
      </c>
      <c r="C396" s="119" t="s">
        <v>1286</v>
      </c>
      <c r="D396" t="s">
        <v>1295</v>
      </c>
    </row>
    <row r="397" spans="1:4" x14ac:dyDescent="0.25">
      <c r="A397" s="16" t="s">
        <v>1570</v>
      </c>
      <c r="B397" s="118">
        <v>75000</v>
      </c>
      <c r="C397" s="119" t="s">
        <v>1286</v>
      </c>
      <c r="D397" t="s">
        <v>1295</v>
      </c>
    </row>
    <row r="398" spans="1:4" x14ac:dyDescent="0.25">
      <c r="A398" s="16" t="s">
        <v>1571</v>
      </c>
      <c r="B398" s="118">
        <v>75000</v>
      </c>
      <c r="C398" s="119" t="s">
        <v>1286</v>
      </c>
      <c r="D398" t="s">
        <v>1295</v>
      </c>
    </row>
    <row r="399" spans="1:4" x14ac:dyDescent="0.25">
      <c r="A399" s="16" t="s">
        <v>1572</v>
      </c>
      <c r="B399" s="118">
        <v>90000</v>
      </c>
      <c r="C399" s="119" t="s">
        <v>1286</v>
      </c>
      <c r="D399" t="s">
        <v>1295</v>
      </c>
    </row>
    <row r="400" spans="1:4" x14ac:dyDescent="0.25">
      <c r="A400" s="16" t="s">
        <v>1573</v>
      </c>
      <c r="B400" s="118">
        <v>170000</v>
      </c>
      <c r="C400" s="119" t="s">
        <v>1286</v>
      </c>
      <c r="D400" t="s">
        <v>1295</v>
      </c>
    </row>
    <row r="401" spans="1:4" x14ac:dyDescent="0.25">
      <c r="A401" s="16" t="s">
        <v>1574</v>
      </c>
      <c r="B401" s="118">
        <v>135000</v>
      </c>
      <c r="C401" s="119" t="s">
        <v>1251</v>
      </c>
      <c r="D401" t="s">
        <v>1295</v>
      </c>
    </row>
    <row r="402" spans="1:4" x14ac:dyDescent="0.25">
      <c r="A402" s="16" t="s">
        <v>1575</v>
      </c>
      <c r="B402" s="118">
        <v>90000</v>
      </c>
      <c r="C402" s="119" t="s">
        <v>1251</v>
      </c>
      <c r="D402" t="s">
        <v>1547</v>
      </c>
    </row>
    <row r="403" spans="1:4" x14ac:dyDescent="0.25">
      <c r="A403" s="16" t="s">
        <v>1576</v>
      </c>
      <c r="B403" s="118">
        <v>90000</v>
      </c>
      <c r="C403" s="119" t="s">
        <v>1251</v>
      </c>
      <c r="D403" t="s">
        <v>1547</v>
      </c>
    </row>
    <row r="404" spans="1:4" x14ac:dyDescent="0.25">
      <c r="A404" s="16" t="s">
        <v>1575</v>
      </c>
      <c r="B404" s="118">
        <v>90000</v>
      </c>
      <c r="C404" s="119" t="s">
        <v>1251</v>
      </c>
      <c r="D404" t="s">
        <v>1547</v>
      </c>
    </row>
    <row r="405" spans="1:4" x14ac:dyDescent="0.25">
      <c r="A405" s="16" t="s">
        <v>1577</v>
      </c>
      <c r="B405" s="118">
        <v>90000</v>
      </c>
      <c r="C405" s="119" t="s">
        <v>1251</v>
      </c>
      <c r="D405" t="s">
        <v>1547</v>
      </c>
    </row>
    <row r="406" spans="1:4" x14ac:dyDescent="0.25">
      <c r="A406" s="16" t="s">
        <v>1578</v>
      </c>
      <c r="B406" s="118">
        <f>B405*4/3</f>
        <v>120000</v>
      </c>
      <c r="C406" s="119" t="s">
        <v>1251</v>
      </c>
      <c r="D406" t="s">
        <v>1547</v>
      </c>
    </row>
    <row r="407" spans="1:4" x14ac:dyDescent="0.25">
      <c r="A407" s="16" t="s">
        <v>1579</v>
      </c>
      <c r="B407" s="118">
        <v>170000</v>
      </c>
      <c r="C407" s="119" t="s">
        <v>1251</v>
      </c>
      <c r="D407" t="s">
        <v>1547</v>
      </c>
    </row>
    <row r="408" spans="1:4" x14ac:dyDescent="0.25">
      <c r="A408" s="16" t="s">
        <v>1580</v>
      </c>
      <c r="B408" s="118">
        <v>170000</v>
      </c>
      <c r="C408" s="119" t="s">
        <v>1251</v>
      </c>
      <c r="D408" t="s">
        <v>1547</v>
      </c>
    </row>
    <row r="409" spans="1:4" x14ac:dyDescent="0.25">
      <c r="A409" s="16" t="s">
        <v>1581</v>
      </c>
      <c r="B409" s="118">
        <v>210000</v>
      </c>
      <c r="C409" s="119" t="s">
        <v>1251</v>
      </c>
      <c r="D409" t="s">
        <v>1547</v>
      </c>
    </row>
    <row r="410" spans="1:4" x14ac:dyDescent="0.25">
      <c r="A410" s="16" t="s">
        <v>1582</v>
      </c>
      <c r="B410" s="118">
        <v>210000</v>
      </c>
      <c r="C410" s="119" t="s">
        <v>1251</v>
      </c>
      <c r="D410" t="s">
        <v>1547</v>
      </c>
    </row>
    <row r="411" spans="1:4" x14ac:dyDescent="0.25">
      <c r="A411" s="16" t="s">
        <v>1583</v>
      </c>
      <c r="B411" s="118">
        <v>250000</v>
      </c>
      <c r="C411" s="119" t="s">
        <v>1251</v>
      </c>
      <c r="D411" t="s">
        <v>1547</v>
      </c>
    </row>
    <row r="412" spans="1:4" x14ac:dyDescent="0.25">
      <c r="A412" s="135" t="s">
        <v>1584</v>
      </c>
      <c r="B412" s="118">
        <v>170000</v>
      </c>
      <c r="C412" s="127" t="s">
        <v>1242</v>
      </c>
      <c r="D412" t="s">
        <v>1295</v>
      </c>
    </row>
    <row r="413" spans="1:4" x14ac:dyDescent="0.25">
      <c r="A413" s="135" t="s">
        <v>1585</v>
      </c>
      <c r="B413" s="118">
        <v>240000</v>
      </c>
      <c r="C413" t="s">
        <v>1242</v>
      </c>
      <c r="D413" t="s">
        <v>1295</v>
      </c>
    </row>
    <row r="414" spans="1:4" x14ac:dyDescent="0.25">
      <c r="A414" s="135" t="s">
        <v>1586</v>
      </c>
      <c r="B414" s="118">
        <v>240000</v>
      </c>
      <c r="C414" t="s">
        <v>1242</v>
      </c>
      <c r="D414" t="s">
        <v>1295</v>
      </c>
    </row>
    <row r="415" spans="1:4" x14ac:dyDescent="0.25">
      <c r="A415" s="135" t="s">
        <v>1587</v>
      </c>
      <c r="B415" s="118">
        <v>300000</v>
      </c>
      <c r="C415" t="s">
        <v>1242</v>
      </c>
      <c r="D415" t="s">
        <v>1295</v>
      </c>
    </row>
    <row r="416" spans="1:4" x14ac:dyDescent="0.25">
      <c r="A416" s="135" t="s">
        <v>1588</v>
      </c>
      <c r="B416" s="118">
        <v>476000</v>
      </c>
      <c r="C416">
        <v>2015</v>
      </c>
      <c r="D416" t="s">
        <v>1457</v>
      </c>
    </row>
    <row r="417" spans="1:6" x14ac:dyDescent="0.25">
      <c r="A417" s="135" t="s">
        <v>1589</v>
      </c>
      <c r="B417" s="118">
        <v>476000</v>
      </c>
      <c r="C417">
        <v>2015</v>
      </c>
      <c r="D417" t="s">
        <v>1457</v>
      </c>
    </row>
    <row r="418" spans="1:6" x14ac:dyDescent="0.25">
      <c r="A418" s="135" t="s">
        <v>1590</v>
      </c>
      <c r="B418" s="118">
        <v>560000</v>
      </c>
      <c r="C418">
        <v>2015</v>
      </c>
      <c r="D418" t="s">
        <v>1457</v>
      </c>
    </row>
    <row r="419" spans="1:6" x14ac:dyDescent="0.25">
      <c r="A419" s="135" t="s">
        <v>1591</v>
      </c>
      <c r="B419" s="118">
        <v>650000</v>
      </c>
      <c r="C419">
        <v>2015</v>
      </c>
      <c r="D419" t="s">
        <v>1457</v>
      </c>
    </row>
    <row r="420" spans="1:6" x14ac:dyDescent="0.25">
      <c r="A420" s="135" t="s">
        <v>1592</v>
      </c>
      <c r="B420" s="118">
        <v>650000</v>
      </c>
      <c r="C420">
        <v>2015</v>
      </c>
      <c r="D420" t="s">
        <v>1457</v>
      </c>
    </row>
    <row r="421" spans="1:6" x14ac:dyDescent="0.25">
      <c r="A421" s="135" t="s">
        <v>1593</v>
      </c>
      <c r="B421" s="118">
        <v>700000</v>
      </c>
      <c r="C421">
        <v>2015</v>
      </c>
      <c r="D421" t="s">
        <v>1457</v>
      </c>
    </row>
    <row r="422" spans="1:6" s="16" customFormat="1" x14ac:dyDescent="0.25">
      <c r="A422" s="16" t="s">
        <v>1594</v>
      </c>
      <c r="B422" s="88">
        <v>240000</v>
      </c>
      <c r="C422" s="127">
        <v>42535</v>
      </c>
      <c r="D422" s="16" t="s">
        <v>1295</v>
      </c>
    </row>
    <row r="423" spans="1:6" x14ac:dyDescent="0.25">
      <c r="A423" s="117" t="s">
        <v>1595</v>
      </c>
      <c r="B423" s="117" t="s">
        <v>1280</v>
      </c>
      <c r="C423" s="117" t="s">
        <v>1226</v>
      </c>
      <c r="D423" s="117" t="s">
        <v>1227</v>
      </c>
      <c r="E423" s="117" t="s">
        <v>1281</v>
      </c>
      <c r="F423" s="117"/>
    </row>
    <row r="424" spans="1:6" x14ac:dyDescent="0.25">
      <c r="A424" t="s">
        <v>1596</v>
      </c>
      <c r="B424" s="118">
        <f>1050000*1.1</f>
        <v>1155000</v>
      </c>
      <c r="C424">
        <v>2015</v>
      </c>
      <c r="D424" t="s">
        <v>1597</v>
      </c>
      <c r="E424">
        <v>9</v>
      </c>
    </row>
    <row r="425" spans="1:6" x14ac:dyDescent="0.25">
      <c r="A425" t="s">
        <v>1598</v>
      </c>
      <c r="B425" s="118">
        <v>1152000</v>
      </c>
      <c r="C425">
        <v>2015</v>
      </c>
      <c r="D425" t="s">
        <v>1597</v>
      </c>
      <c r="E425">
        <v>16</v>
      </c>
    </row>
    <row r="426" spans="1:6" x14ac:dyDescent="0.25">
      <c r="A426" t="s">
        <v>1599</v>
      </c>
      <c r="B426" s="118">
        <v>1200000</v>
      </c>
      <c r="C426">
        <v>2015</v>
      </c>
      <c r="D426" t="s">
        <v>1597</v>
      </c>
      <c r="E426">
        <v>16</v>
      </c>
    </row>
    <row r="427" spans="1:6" x14ac:dyDescent="0.25">
      <c r="A427" t="s">
        <v>1600</v>
      </c>
      <c r="B427" s="118">
        <v>1300000</v>
      </c>
      <c r="C427">
        <v>2015</v>
      </c>
      <c r="D427" t="s">
        <v>1597</v>
      </c>
      <c r="E427">
        <v>16</v>
      </c>
    </row>
    <row r="428" spans="1:6" x14ac:dyDescent="0.25">
      <c r="A428" t="s">
        <v>1601</v>
      </c>
      <c r="B428" s="118">
        <v>1416000</v>
      </c>
      <c r="C428">
        <v>2015</v>
      </c>
      <c r="D428" t="s">
        <v>1597</v>
      </c>
      <c r="E428">
        <v>16</v>
      </c>
    </row>
    <row r="429" spans="1:6" x14ac:dyDescent="0.25">
      <c r="A429" t="s">
        <v>1602</v>
      </c>
      <c r="B429" s="118">
        <v>1215000</v>
      </c>
      <c r="C429">
        <v>2015</v>
      </c>
      <c r="D429" t="s">
        <v>1597</v>
      </c>
      <c r="E429">
        <v>21</v>
      </c>
    </row>
    <row r="430" spans="1:6" x14ac:dyDescent="0.25">
      <c r="A430" t="s">
        <v>1603</v>
      </c>
      <c r="B430" s="118">
        <f>1159000*1.1</f>
        <v>1274900</v>
      </c>
      <c r="C430">
        <v>2015</v>
      </c>
      <c r="D430" t="s">
        <v>1597</v>
      </c>
      <c r="E430">
        <v>21</v>
      </c>
    </row>
    <row r="431" spans="1:6" x14ac:dyDescent="0.25">
      <c r="A431" t="s">
        <v>1604</v>
      </c>
      <c r="B431" s="118">
        <v>1350000</v>
      </c>
      <c r="C431">
        <v>2015</v>
      </c>
      <c r="D431" t="s">
        <v>1597</v>
      </c>
      <c r="E431">
        <v>21</v>
      </c>
    </row>
    <row r="432" spans="1:6" x14ac:dyDescent="0.25">
      <c r="A432" t="s">
        <v>1605</v>
      </c>
      <c r="B432" s="118">
        <f>1356548*1.1</f>
        <v>1492202.8</v>
      </c>
      <c r="C432">
        <v>2015</v>
      </c>
      <c r="D432" t="s">
        <v>1597</v>
      </c>
      <c r="E432">
        <v>21</v>
      </c>
    </row>
    <row r="433" spans="1:5" x14ac:dyDescent="0.25">
      <c r="A433" t="s">
        <v>1606</v>
      </c>
      <c r="B433" s="118">
        <v>1620000</v>
      </c>
      <c r="C433">
        <v>2015</v>
      </c>
      <c r="D433" t="s">
        <v>1597</v>
      </c>
      <c r="E433">
        <v>21</v>
      </c>
    </row>
    <row r="434" spans="1:5" x14ac:dyDescent="0.25">
      <c r="A434" t="s">
        <v>1607</v>
      </c>
      <c r="B434" s="118">
        <v>1688526</v>
      </c>
      <c r="C434">
        <v>2015</v>
      </c>
      <c r="D434" t="s">
        <v>1597</v>
      </c>
      <c r="E434">
        <v>21</v>
      </c>
    </row>
    <row r="435" spans="1:5" x14ac:dyDescent="0.25">
      <c r="A435" t="s">
        <v>1608</v>
      </c>
      <c r="B435" s="118">
        <v>1300000</v>
      </c>
      <c r="C435">
        <v>2015</v>
      </c>
      <c r="D435" t="s">
        <v>1597</v>
      </c>
      <c r="E435">
        <v>21</v>
      </c>
    </row>
    <row r="436" spans="1:5" x14ac:dyDescent="0.25">
      <c r="A436" t="s">
        <v>1609</v>
      </c>
      <c r="B436" s="118">
        <v>1340000</v>
      </c>
      <c r="C436">
        <v>2015</v>
      </c>
      <c r="D436" t="s">
        <v>1597</v>
      </c>
      <c r="E436">
        <v>36</v>
      </c>
    </row>
    <row r="437" spans="1:5" x14ac:dyDescent="0.25">
      <c r="A437" t="s">
        <v>1610</v>
      </c>
      <c r="B437" s="118">
        <v>1430000</v>
      </c>
      <c r="C437" s="119">
        <v>42418</v>
      </c>
      <c r="D437" t="s">
        <v>1597</v>
      </c>
      <c r="E437">
        <v>36</v>
      </c>
    </row>
    <row r="438" spans="1:5" x14ac:dyDescent="0.25">
      <c r="A438" t="s">
        <v>1611</v>
      </c>
      <c r="B438" s="118">
        <v>1560000</v>
      </c>
      <c r="C438" s="119">
        <v>42418</v>
      </c>
      <c r="D438" t="s">
        <v>1597</v>
      </c>
      <c r="E438">
        <v>36</v>
      </c>
    </row>
    <row r="439" spans="1:5" x14ac:dyDescent="0.25">
      <c r="A439" t="s">
        <v>1612</v>
      </c>
      <c r="B439" s="118">
        <v>1690000</v>
      </c>
      <c r="C439">
        <v>2015</v>
      </c>
      <c r="D439" t="s">
        <v>1597</v>
      </c>
      <c r="E439">
        <v>36</v>
      </c>
    </row>
    <row r="440" spans="1:5" x14ac:dyDescent="0.25">
      <c r="A440" t="s">
        <v>1613</v>
      </c>
      <c r="B440" s="118">
        <v>1710000</v>
      </c>
      <c r="C440">
        <v>2015</v>
      </c>
      <c r="D440" t="s">
        <v>1597</v>
      </c>
      <c r="E440">
        <v>36</v>
      </c>
    </row>
    <row r="441" spans="1:5" x14ac:dyDescent="0.25">
      <c r="A441" t="s">
        <v>1614</v>
      </c>
      <c r="B441" s="118">
        <v>1850000</v>
      </c>
      <c r="C441">
        <v>2015</v>
      </c>
      <c r="D441" t="s">
        <v>1597</v>
      </c>
      <c r="E441">
        <v>36</v>
      </c>
    </row>
    <row r="442" spans="1:5" x14ac:dyDescent="0.25">
      <c r="A442" t="s">
        <v>1615</v>
      </c>
      <c r="B442" s="118">
        <v>1540000</v>
      </c>
      <c r="C442">
        <v>2015</v>
      </c>
      <c r="D442" t="s">
        <v>1597</v>
      </c>
      <c r="E442">
        <v>36</v>
      </c>
    </row>
    <row r="443" spans="1:5" x14ac:dyDescent="0.25">
      <c r="A443" t="s">
        <v>1616</v>
      </c>
      <c r="B443" s="118">
        <v>1605000</v>
      </c>
      <c r="C443">
        <v>2015</v>
      </c>
      <c r="D443" t="s">
        <v>1597</v>
      </c>
      <c r="E443">
        <v>36</v>
      </c>
    </row>
    <row r="444" spans="1:5" x14ac:dyDescent="0.25">
      <c r="A444" t="s">
        <v>1617</v>
      </c>
      <c r="B444" s="118">
        <v>1730000</v>
      </c>
      <c r="C444">
        <v>2015</v>
      </c>
      <c r="D444" t="s">
        <v>1597</v>
      </c>
      <c r="E444">
        <v>36</v>
      </c>
    </row>
    <row r="445" spans="1:5" x14ac:dyDescent="0.25">
      <c r="A445" t="s">
        <v>65</v>
      </c>
      <c r="B445" s="118">
        <f>1711000*1.1</f>
        <v>1882100.0000000002</v>
      </c>
      <c r="C445">
        <v>2015</v>
      </c>
      <c r="D445" t="s">
        <v>1597</v>
      </c>
      <c r="E445">
        <v>43</v>
      </c>
    </row>
    <row r="446" spans="1:5" x14ac:dyDescent="0.25">
      <c r="A446" t="s">
        <v>1618</v>
      </c>
      <c r="B446" s="118">
        <v>1993000</v>
      </c>
      <c r="C446" s="119">
        <v>42578</v>
      </c>
      <c r="D446" t="s">
        <v>1597</v>
      </c>
      <c r="E446">
        <v>43</v>
      </c>
    </row>
    <row r="447" spans="1:5" x14ac:dyDescent="0.25">
      <c r="A447" t="s">
        <v>1619</v>
      </c>
      <c r="B447" s="118">
        <v>1940274</v>
      </c>
      <c r="C447">
        <v>2015</v>
      </c>
      <c r="D447" t="s">
        <v>1597</v>
      </c>
      <c r="E447">
        <v>43</v>
      </c>
    </row>
    <row r="448" spans="1:5" x14ac:dyDescent="0.25">
      <c r="A448" t="s">
        <v>1620</v>
      </c>
      <c r="B448" s="118">
        <v>1893000</v>
      </c>
      <c r="C448">
        <v>2015</v>
      </c>
      <c r="D448" t="s">
        <v>1597</v>
      </c>
      <c r="E448">
        <v>43</v>
      </c>
    </row>
    <row r="449" spans="1:5" x14ac:dyDescent="0.25">
      <c r="A449" t="s">
        <v>1621</v>
      </c>
      <c r="B449" s="118">
        <v>2270000</v>
      </c>
      <c r="C449">
        <v>2015</v>
      </c>
      <c r="D449" t="s">
        <v>1597</v>
      </c>
      <c r="E449">
        <v>43</v>
      </c>
    </row>
    <row r="450" spans="1:5" x14ac:dyDescent="0.25">
      <c r="A450" t="s">
        <v>1622</v>
      </c>
      <c r="B450" s="118">
        <v>1515000</v>
      </c>
      <c r="C450">
        <v>2015</v>
      </c>
      <c r="D450" t="s">
        <v>1597</v>
      </c>
      <c r="E450">
        <v>58</v>
      </c>
    </row>
    <row r="451" spans="1:5" x14ac:dyDescent="0.25">
      <c r="A451" t="s">
        <v>1623</v>
      </c>
      <c r="B451" s="118">
        <v>1562652</v>
      </c>
      <c r="C451">
        <v>2015</v>
      </c>
      <c r="D451" t="s">
        <v>1597</v>
      </c>
      <c r="E451">
        <v>58</v>
      </c>
    </row>
    <row r="452" spans="1:5" x14ac:dyDescent="0.25">
      <c r="A452" t="s">
        <v>1624</v>
      </c>
      <c r="B452" s="118">
        <v>1650000</v>
      </c>
      <c r="C452">
        <v>2015</v>
      </c>
      <c r="D452" t="s">
        <v>1597</v>
      </c>
      <c r="E452">
        <v>58</v>
      </c>
    </row>
    <row r="453" spans="1:5" x14ac:dyDescent="0.25">
      <c r="A453" t="s">
        <v>1625</v>
      </c>
      <c r="B453" s="118">
        <v>1800000</v>
      </c>
      <c r="C453">
        <v>2015</v>
      </c>
      <c r="D453" t="s">
        <v>1597</v>
      </c>
      <c r="E453">
        <v>58</v>
      </c>
    </row>
    <row r="454" spans="1:5" x14ac:dyDescent="0.25">
      <c r="A454" t="s">
        <v>1626</v>
      </c>
      <c r="B454" s="118">
        <v>1915000</v>
      </c>
      <c r="C454">
        <v>2015</v>
      </c>
      <c r="D454" t="s">
        <v>1597</v>
      </c>
      <c r="E454">
        <v>58</v>
      </c>
    </row>
    <row r="455" spans="1:5" x14ac:dyDescent="0.25">
      <c r="A455" t="s">
        <v>1627</v>
      </c>
      <c r="B455" s="118">
        <v>1986000</v>
      </c>
      <c r="C455">
        <v>2015</v>
      </c>
      <c r="D455" t="s">
        <v>1597</v>
      </c>
      <c r="E455">
        <v>58</v>
      </c>
    </row>
    <row r="456" spans="1:5" x14ac:dyDescent="0.25">
      <c r="A456" t="s">
        <v>1628</v>
      </c>
      <c r="B456" s="118">
        <v>2052000</v>
      </c>
      <c r="C456">
        <v>2015</v>
      </c>
      <c r="D456" t="s">
        <v>1597</v>
      </c>
      <c r="E456">
        <v>58</v>
      </c>
    </row>
    <row r="457" spans="1:5" x14ac:dyDescent="0.25">
      <c r="A457" t="s">
        <v>1629</v>
      </c>
      <c r="B457" s="118">
        <v>2122000</v>
      </c>
      <c r="C457">
        <v>2015</v>
      </c>
      <c r="D457" t="s">
        <v>1597</v>
      </c>
      <c r="E457">
        <v>58</v>
      </c>
    </row>
    <row r="458" spans="1:5" x14ac:dyDescent="0.25">
      <c r="A458" t="s">
        <v>1630</v>
      </c>
      <c r="B458" s="118">
        <v>2350000</v>
      </c>
      <c r="C458">
        <v>2015</v>
      </c>
      <c r="D458" t="s">
        <v>1597</v>
      </c>
      <c r="E458">
        <v>58</v>
      </c>
    </row>
    <row r="459" spans="1:5" x14ac:dyDescent="0.25">
      <c r="A459" t="s">
        <v>1631</v>
      </c>
      <c r="B459" s="118">
        <v>4370000</v>
      </c>
      <c r="C459">
        <v>2015</v>
      </c>
      <c r="D459" t="s">
        <v>1597</v>
      </c>
      <c r="E459">
        <v>65</v>
      </c>
    </row>
    <row r="460" spans="1:5" x14ac:dyDescent="0.25">
      <c r="A460" t="s">
        <v>1632</v>
      </c>
      <c r="B460" s="118">
        <v>2140000</v>
      </c>
      <c r="C460">
        <v>2015</v>
      </c>
      <c r="D460" t="s">
        <v>1597</v>
      </c>
      <c r="E460">
        <v>73</v>
      </c>
    </row>
    <row r="461" spans="1:5" x14ac:dyDescent="0.25">
      <c r="A461" t="s">
        <v>1633</v>
      </c>
      <c r="B461" s="118">
        <v>2250000</v>
      </c>
      <c r="C461">
        <v>2015</v>
      </c>
      <c r="D461" t="s">
        <v>1597</v>
      </c>
      <c r="E461">
        <v>73</v>
      </c>
    </row>
    <row r="462" spans="1:5" x14ac:dyDescent="0.25">
      <c r="A462" t="s">
        <v>1634</v>
      </c>
      <c r="B462" s="118">
        <v>2490000</v>
      </c>
      <c r="C462">
        <v>2015</v>
      </c>
      <c r="D462" t="s">
        <v>1597</v>
      </c>
      <c r="E462">
        <v>73</v>
      </c>
    </row>
    <row r="463" spans="1:5" x14ac:dyDescent="0.25">
      <c r="A463" t="s">
        <v>1635</v>
      </c>
      <c r="B463" s="118">
        <v>2560000</v>
      </c>
      <c r="C463">
        <v>2015</v>
      </c>
      <c r="D463" t="s">
        <v>1597</v>
      </c>
      <c r="E463">
        <v>73</v>
      </c>
    </row>
    <row r="464" spans="1:5" x14ac:dyDescent="0.25">
      <c r="A464" t="s">
        <v>1636</v>
      </c>
      <c r="B464" s="118">
        <v>2650000</v>
      </c>
      <c r="C464">
        <v>2015</v>
      </c>
      <c r="D464" t="s">
        <v>1597</v>
      </c>
      <c r="E464">
        <v>73</v>
      </c>
    </row>
    <row r="465" spans="1:5" x14ac:dyDescent="0.25">
      <c r="A465" t="s">
        <v>1637</v>
      </c>
      <c r="B465" s="118">
        <v>2486000</v>
      </c>
      <c r="C465">
        <v>2015</v>
      </c>
      <c r="D465" t="s">
        <v>1597</v>
      </c>
      <c r="E465">
        <v>73</v>
      </c>
    </row>
    <row r="466" spans="1:5" x14ac:dyDescent="0.25">
      <c r="A466" t="s">
        <v>1638</v>
      </c>
      <c r="B466" s="118">
        <v>2800000</v>
      </c>
      <c r="C466">
        <v>2015</v>
      </c>
      <c r="D466" t="s">
        <v>1597</v>
      </c>
      <c r="E466">
        <v>73</v>
      </c>
    </row>
    <row r="467" spans="1:5" x14ac:dyDescent="0.25">
      <c r="A467" t="s">
        <v>1639</v>
      </c>
      <c r="B467" s="118">
        <v>2800000</v>
      </c>
      <c r="C467">
        <v>2015</v>
      </c>
      <c r="D467" t="s">
        <v>1597</v>
      </c>
      <c r="E467">
        <v>73</v>
      </c>
    </row>
    <row r="468" spans="1:5" x14ac:dyDescent="0.25">
      <c r="A468" t="s">
        <v>1640</v>
      </c>
      <c r="B468" s="118">
        <v>3060000</v>
      </c>
      <c r="C468">
        <v>2015</v>
      </c>
      <c r="D468" t="s">
        <v>1597</v>
      </c>
      <c r="E468">
        <v>74</v>
      </c>
    </row>
    <row r="469" spans="1:5" x14ac:dyDescent="0.25">
      <c r="A469" t="s">
        <v>1641</v>
      </c>
      <c r="B469" s="118">
        <v>2570000</v>
      </c>
      <c r="C469">
        <v>2015</v>
      </c>
      <c r="D469" t="s">
        <v>1597</v>
      </c>
      <c r="E469">
        <v>112</v>
      </c>
    </row>
    <row r="470" spans="1:5" x14ac:dyDescent="0.25">
      <c r="A470" t="s">
        <v>1642</v>
      </c>
      <c r="B470" s="118">
        <v>2660000</v>
      </c>
      <c r="C470">
        <v>2015</v>
      </c>
      <c r="D470" t="s">
        <v>1597</v>
      </c>
      <c r="E470">
        <v>112</v>
      </c>
    </row>
    <row r="471" spans="1:5" x14ac:dyDescent="0.25">
      <c r="A471" t="s">
        <v>1643</v>
      </c>
      <c r="B471" s="118">
        <v>2787000</v>
      </c>
      <c r="C471">
        <v>2015</v>
      </c>
      <c r="D471" t="s">
        <v>1597</v>
      </c>
      <c r="E471">
        <v>112</v>
      </c>
    </row>
    <row r="472" spans="1:5" x14ac:dyDescent="0.25">
      <c r="A472" t="s">
        <v>1644</v>
      </c>
      <c r="B472" s="118">
        <v>2950000</v>
      </c>
      <c r="C472">
        <v>2015</v>
      </c>
      <c r="D472" t="s">
        <v>1597</v>
      </c>
      <c r="E472">
        <v>112</v>
      </c>
    </row>
    <row r="473" spans="1:5" x14ac:dyDescent="0.25">
      <c r="A473" t="s">
        <v>1645</v>
      </c>
      <c r="B473" s="118">
        <v>3000000</v>
      </c>
      <c r="C473">
        <v>2015</v>
      </c>
      <c r="D473" t="s">
        <v>1597</v>
      </c>
      <c r="E473">
        <v>112</v>
      </c>
    </row>
    <row r="474" spans="1:5" x14ac:dyDescent="0.25">
      <c r="A474" t="s">
        <v>1646</v>
      </c>
      <c r="B474" s="118">
        <v>3065000</v>
      </c>
      <c r="C474">
        <v>2015</v>
      </c>
      <c r="D474" t="s">
        <v>1597</v>
      </c>
      <c r="E474">
        <v>115</v>
      </c>
    </row>
    <row r="475" spans="1:5" x14ac:dyDescent="0.25">
      <c r="A475" t="s">
        <v>1647</v>
      </c>
      <c r="B475" s="118">
        <v>2870000</v>
      </c>
      <c r="C475">
        <v>2015</v>
      </c>
      <c r="D475" t="s">
        <v>1597</v>
      </c>
      <c r="E475">
        <v>120</v>
      </c>
    </row>
    <row r="476" spans="1:5" x14ac:dyDescent="0.25">
      <c r="A476" t="s">
        <v>1648</v>
      </c>
      <c r="B476" s="118">
        <v>3150000</v>
      </c>
      <c r="C476">
        <v>2015</v>
      </c>
      <c r="D476" t="s">
        <v>1597</v>
      </c>
      <c r="E476">
        <v>120</v>
      </c>
    </row>
    <row r="477" spans="1:5" x14ac:dyDescent="0.25">
      <c r="A477" t="s">
        <v>1649</v>
      </c>
      <c r="B477" s="118">
        <v>3530000</v>
      </c>
      <c r="C477">
        <v>2015</v>
      </c>
      <c r="D477" t="s">
        <v>1597</v>
      </c>
      <c r="E477">
        <v>120</v>
      </c>
    </row>
    <row r="478" spans="1:5" x14ac:dyDescent="0.25">
      <c r="A478" t="s">
        <v>1650</v>
      </c>
      <c r="B478" s="118">
        <v>5200000</v>
      </c>
      <c r="C478">
        <v>2015</v>
      </c>
      <c r="D478" t="s">
        <v>1597</v>
      </c>
      <c r="E478">
        <v>120</v>
      </c>
    </row>
    <row r="479" spans="1:5" x14ac:dyDescent="0.25">
      <c r="A479" t="s">
        <v>1651</v>
      </c>
      <c r="B479" s="118">
        <v>3750000</v>
      </c>
      <c r="C479">
        <v>2015</v>
      </c>
      <c r="D479" t="s">
        <v>1597</v>
      </c>
      <c r="E479">
        <v>145</v>
      </c>
    </row>
    <row r="480" spans="1:5" x14ac:dyDescent="0.25">
      <c r="A480" t="s">
        <v>1652</v>
      </c>
      <c r="B480" s="118">
        <v>3900000</v>
      </c>
      <c r="C480">
        <v>2015</v>
      </c>
      <c r="D480" t="s">
        <v>1597</v>
      </c>
      <c r="E480">
        <v>145</v>
      </c>
    </row>
    <row r="481" spans="1:5" x14ac:dyDescent="0.25">
      <c r="A481" t="s">
        <v>1653</v>
      </c>
      <c r="B481" s="118">
        <v>3970000</v>
      </c>
      <c r="C481">
        <v>2015</v>
      </c>
      <c r="D481" t="s">
        <v>1597</v>
      </c>
      <c r="E481">
        <v>145</v>
      </c>
    </row>
    <row r="482" spans="1:5" x14ac:dyDescent="0.25">
      <c r="A482" t="s">
        <v>1654</v>
      </c>
      <c r="B482" s="118">
        <v>4102000</v>
      </c>
      <c r="C482">
        <v>2015</v>
      </c>
      <c r="D482" t="s">
        <v>1597</v>
      </c>
      <c r="E482">
        <v>145</v>
      </c>
    </row>
    <row r="483" spans="1:5" x14ac:dyDescent="0.25">
      <c r="A483" t="s">
        <v>1655</v>
      </c>
      <c r="B483" s="118">
        <v>4100000</v>
      </c>
      <c r="C483">
        <v>2015</v>
      </c>
      <c r="D483" t="s">
        <v>1597</v>
      </c>
      <c r="E483">
        <v>145</v>
      </c>
    </row>
    <row r="484" spans="1:5" x14ac:dyDescent="0.25">
      <c r="A484" t="s">
        <v>1656</v>
      </c>
      <c r="B484" s="118">
        <v>4415000</v>
      </c>
      <c r="C484">
        <v>2015</v>
      </c>
      <c r="D484" t="s">
        <v>1597</v>
      </c>
      <c r="E484">
        <v>145</v>
      </c>
    </row>
    <row r="485" spans="1:5" x14ac:dyDescent="0.25">
      <c r="A485" t="s">
        <v>1657</v>
      </c>
      <c r="B485" s="118">
        <v>4680000</v>
      </c>
      <c r="C485">
        <v>2015</v>
      </c>
      <c r="D485" t="s">
        <v>1597</v>
      </c>
      <c r="E485">
        <v>145</v>
      </c>
    </row>
    <row r="486" spans="1:5" x14ac:dyDescent="0.25">
      <c r="A486" t="s">
        <v>1658</v>
      </c>
      <c r="B486" s="118">
        <v>6300000</v>
      </c>
      <c r="C486">
        <v>2015</v>
      </c>
      <c r="D486" t="s">
        <v>1597</v>
      </c>
      <c r="E486">
        <v>145</v>
      </c>
    </row>
    <row r="487" spans="1:5" x14ac:dyDescent="0.25">
      <c r="A487" t="s">
        <v>1659</v>
      </c>
      <c r="B487" s="118">
        <f>5650000*1.2</f>
        <v>6780000</v>
      </c>
      <c r="C487">
        <v>2015</v>
      </c>
      <c r="D487" t="s">
        <v>1597</v>
      </c>
      <c r="E487">
        <v>146</v>
      </c>
    </row>
    <row r="488" spans="1:5" x14ac:dyDescent="0.25">
      <c r="A488" t="s">
        <v>1660</v>
      </c>
      <c r="B488" s="118">
        <v>6890000</v>
      </c>
      <c r="C488">
        <v>2015</v>
      </c>
      <c r="D488" t="s">
        <v>1597</v>
      </c>
      <c r="E488">
        <v>146</v>
      </c>
    </row>
    <row r="489" spans="1:5" x14ac:dyDescent="0.25">
      <c r="A489" t="s">
        <v>1661</v>
      </c>
      <c r="B489" s="118">
        <v>5367000</v>
      </c>
      <c r="C489">
        <v>2015</v>
      </c>
      <c r="D489" t="s">
        <v>1597</v>
      </c>
      <c r="E489">
        <v>146</v>
      </c>
    </row>
    <row r="490" spans="1:5" x14ac:dyDescent="0.25">
      <c r="A490" t="s">
        <v>1662</v>
      </c>
      <c r="B490" s="118">
        <v>5450000</v>
      </c>
      <c r="C490">
        <v>2015</v>
      </c>
      <c r="D490" t="s">
        <v>1597</v>
      </c>
      <c r="E490">
        <v>145</v>
      </c>
    </row>
    <row r="491" spans="1:5" x14ac:dyDescent="0.25">
      <c r="A491" t="s">
        <v>1663</v>
      </c>
      <c r="B491" s="118">
        <v>5600000</v>
      </c>
      <c r="C491">
        <v>2015</v>
      </c>
      <c r="D491" t="s">
        <v>1597</v>
      </c>
      <c r="E491">
        <v>145</v>
      </c>
    </row>
    <row r="492" spans="1:5" x14ac:dyDescent="0.25">
      <c r="A492" t="s">
        <v>1664</v>
      </c>
      <c r="B492" s="118">
        <f>B491*1.032</f>
        <v>5779200</v>
      </c>
      <c r="C492">
        <v>2015</v>
      </c>
      <c r="D492" t="s">
        <v>1597</v>
      </c>
      <c r="E492">
        <v>145</v>
      </c>
    </row>
    <row r="493" spans="1:5" x14ac:dyDescent="0.25">
      <c r="A493" t="s">
        <v>1665</v>
      </c>
      <c r="B493" s="118">
        <v>6200000</v>
      </c>
      <c r="C493">
        <v>2015</v>
      </c>
      <c r="D493" t="s">
        <v>1597</v>
      </c>
      <c r="E493">
        <v>190</v>
      </c>
    </row>
    <row r="494" spans="1:5" x14ac:dyDescent="0.25">
      <c r="A494" t="s">
        <v>1666</v>
      </c>
      <c r="B494" s="118">
        <v>7800000</v>
      </c>
      <c r="C494">
        <v>2015</v>
      </c>
      <c r="D494" t="s">
        <v>1597</v>
      </c>
      <c r="E494">
        <v>190</v>
      </c>
    </row>
    <row r="495" spans="1:5" x14ac:dyDescent="0.25">
      <c r="A495" t="s">
        <v>1667</v>
      </c>
      <c r="B495" s="118">
        <v>7900000</v>
      </c>
      <c r="C495">
        <v>2015</v>
      </c>
      <c r="D495" t="s">
        <v>1597</v>
      </c>
      <c r="E495">
        <v>190</v>
      </c>
    </row>
    <row r="496" spans="1:5" x14ac:dyDescent="0.25">
      <c r="A496" t="s">
        <v>1668</v>
      </c>
      <c r="B496" s="118">
        <v>8220000</v>
      </c>
      <c r="C496">
        <v>2015</v>
      </c>
      <c r="D496" t="s">
        <v>1597</v>
      </c>
      <c r="E496">
        <v>190</v>
      </c>
    </row>
    <row r="497" spans="1:15" x14ac:dyDescent="0.25">
      <c r="A497" t="s">
        <v>1669</v>
      </c>
      <c r="B497" s="118">
        <v>8520000</v>
      </c>
      <c r="C497">
        <v>2015</v>
      </c>
      <c r="D497" t="s">
        <v>1597</v>
      </c>
      <c r="E497">
        <v>220</v>
      </c>
    </row>
    <row r="498" spans="1:15" x14ac:dyDescent="0.25">
      <c r="A498" t="s">
        <v>1670</v>
      </c>
      <c r="B498" s="118">
        <v>10420000</v>
      </c>
      <c r="C498">
        <v>2015</v>
      </c>
      <c r="D498" t="s">
        <v>1597</v>
      </c>
      <c r="E498">
        <v>220</v>
      </c>
    </row>
    <row r="499" spans="1:15" x14ac:dyDescent="0.25">
      <c r="A499" t="s">
        <v>1671</v>
      </c>
      <c r="B499" s="118">
        <v>10550000</v>
      </c>
      <c r="C499">
        <v>2015</v>
      </c>
      <c r="D499" t="s">
        <v>1597</v>
      </c>
      <c r="E499">
        <v>220</v>
      </c>
    </row>
    <row r="500" spans="1:15" x14ac:dyDescent="0.25">
      <c r="A500" t="s">
        <v>1672</v>
      </c>
      <c r="B500" s="118">
        <v>10860000</v>
      </c>
      <c r="C500">
        <v>2015</v>
      </c>
      <c r="D500" t="s">
        <v>1597</v>
      </c>
      <c r="E500">
        <v>220</v>
      </c>
    </row>
    <row r="501" spans="1:15" x14ac:dyDescent="0.25">
      <c r="A501" t="s">
        <v>1673</v>
      </c>
      <c r="B501" s="118">
        <v>10300000</v>
      </c>
      <c r="C501" s="119">
        <v>42643</v>
      </c>
      <c r="D501" t="s">
        <v>1597</v>
      </c>
      <c r="E501">
        <v>220</v>
      </c>
    </row>
    <row r="502" spans="1:15" x14ac:dyDescent="0.25">
      <c r="A502" t="s">
        <v>1674</v>
      </c>
      <c r="B502" s="118">
        <v>10770000</v>
      </c>
      <c r="C502">
        <v>2015</v>
      </c>
      <c r="D502" t="s">
        <v>1597</v>
      </c>
      <c r="E502">
        <v>310</v>
      </c>
      <c r="N502" s="118"/>
      <c r="O502" s="119"/>
    </row>
    <row r="503" spans="1:15" x14ac:dyDescent="0.25">
      <c r="A503" t="s">
        <v>1675</v>
      </c>
      <c r="B503" s="118">
        <v>13500000</v>
      </c>
      <c r="C503">
        <v>2015</v>
      </c>
      <c r="D503" t="s">
        <v>1597</v>
      </c>
      <c r="E503">
        <v>310</v>
      </c>
      <c r="N503" s="118"/>
      <c r="O503" s="119"/>
    </row>
    <row r="504" spans="1:15" x14ac:dyDescent="0.25">
      <c r="A504" t="s">
        <v>1676</v>
      </c>
      <c r="B504" s="118">
        <v>14000000</v>
      </c>
      <c r="C504" s="119">
        <v>42643</v>
      </c>
      <c r="D504" t="s">
        <v>1597</v>
      </c>
      <c r="E504">
        <v>310</v>
      </c>
      <c r="N504" s="118"/>
      <c r="O504" s="119"/>
    </row>
    <row r="505" spans="1:15" x14ac:dyDescent="0.25">
      <c r="A505" t="s">
        <v>1677</v>
      </c>
      <c r="B505" s="118">
        <v>14545000</v>
      </c>
      <c r="C505" s="119">
        <v>42930</v>
      </c>
      <c r="D505" t="s">
        <v>1597</v>
      </c>
      <c r="E505">
        <v>310</v>
      </c>
      <c r="N505" s="118"/>
      <c r="O505" s="119"/>
    </row>
    <row r="506" spans="1:15" x14ac:dyDescent="0.25">
      <c r="A506" t="s">
        <v>1678</v>
      </c>
      <c r="B506" s="118">
        <v>26550000</v>
      </c>
      <c r="C506" s="119">
        <v>42563</v>
      </c>
      <c r="D506" t="s">
        <v>1597</v>
      </c>
      <c r="E506">
        <v>836</v>
      </c>
    </row>
    <row r="507" spans="1:15" x14ac:dyDescent="0.25">
      <c r="A507" t="s">
        <v>1679</v>
      </c>
      <c r="B507" s="118">
        <v>2400000</v>
      </c>
      <c r="C507" s="119">
        <v>42572</v>
      </c>
      <c r="D507" t="s">
        <v>1597</v>
      </c>
      <c r="E507">
        <v>43</v>
      </c>
    </row>
    <row r="508" spans="1:15" x14ac:dyDescent="0.25">
      <c r="A508" t="s">
        <v>1680</v>
      </c>
      <c r="B508" s="118">
        <v>2700000</v>
      </c>
      <c r="C508" s="119">
        <v>42572</v>
      </c>
      <c r="D508" t="s">
        <v>1597</v>
      </c>
      <c r="E508">
        <v>74</v>
      </c>
    </row>
    <row r="509" spans="1:15" x14ac:dyDescent="0.25">
      <c r="A509" t="s">
        <v>1681</v>
      </c>
      <c r="B509" s="118">
        <v>3650000</v>
      </c>
      <c r="C509" s="119">
        <v>42579</v>
      </c>
      <c r="D509" t="s">
        <v>1597</v>
      </c>
      <c r="E509">
        <v>78</v>
      </c>
    </row>
    <row r="510" spans="1:15" x14ac:dyDescent="0.25">
      <c r="A510" t="s">
        <v>1682</v>
      </c>
      <c r="B510" s="118">
        <v>3360000</v>
      </c>
      <c r="C510" s="119">
        <v>42579</v>
      </c>
      <c r="D510" t="s">
        <v>1597</v>
      </c>
      <c r="E510">
        <v>78</v>
      </c>
    </row>
    <row r="511" spans="1:15" x14ac:dyDescent="0.25">
      <c r="A511" t="s">
        <v>1683</v>
      </c>
      <c r="B511" s="118">
        <v>4500000</v>
      </c>
      <c r="C511" s="119">
        <v>42572</v>
      </c>
      <c r="D511" t="s">
        <v>1597</v>
      </c>
      <c r="E511">
        <v>100</v>
      </c>
    </row>
    <row r="512" spans="1:15" x14ac:dyDescent="0.25">
      <c r="A512" t="s">
        <v>1684</v>
      </c>
      <c r="B512" s="118">
        <v>5300000</v>
      </c>
      <c r="C512" s="119" t="s">
        <v>1251</v>
      </c>
      <c r="D512" t="s">
        <v>1597</v>
      </c>
      <c r="E512">
        <v>100</v>
      </c>
    </row>
    <row r="513" spans="1:5" x14ac:dyDescent="0.25">
      <c r="A513" t="s">
        <v>1685</v>
      </c>
      <c r="B513" s="118">
        <v>6728000</v>
      </c>
      <c r="C513" s="119">
        <v>42591</v>
      </c>
      <c r="D513" t="s">
        <v>1597</v>
      </c>
      <c r="E513">
        <v>150</v>
      </c>
    </row>
    <row r="514" spans="1:5" x14ac:dyDescent="0.25">
      <c r="A514" t="s">
        <v>1686</v>
      </c>
      <c r="B514" s="118">
        <v>11860000</v>
      </c>
      <c r="C514" s="119">
        <v>42639</v>
      </c>
      <c r="D514" t="s">
        <v>1597</v>
      </c>
      <c r="E514">
        <v>180</v>
      </c>
    </row>
    <row r="515" spans="1:5" x14ac:dyDescent="0.25">
      <c r="A515" t="s">
        <v>1687</v>
      </c>
      <c r="B515" s="118">
        <v>13200000</v>
      </c>
      <c r="C515" s="119" t="s">
        <v>1251</v>
      </c>
      <c r="D515" t="s">
        <v>1597</v>
      </c>
      <c r="E515">
        <v>180</v>
      </c>
    </row>
    <row r="516" spans="1:5" x14ac:dyDescent="0.25">
      <c r="A516" t="s">
        <v>1688</v>
      </c>
      <c r="B516" s="118">
        <v>17812000</v>
      </c>
      <c r="C516" s="119">
        <v>43236</v>
      </c>
      <c r="D516" t="s">
        <v>1597</v>
      </c>
      <c r="E516">
        <v>591</v>
      </c>
    </row>
    <row r="517" spans="1:5" x14ac:dyDescent="0.25">
      <c r="A517" t="s">
        <v>1689</v>
      </c>
      <c r="B517" s="118">
        <v>21450000</v>
      </c>
      <c r="C517" s="119">
        <v>42739</v>
      </c>
      <c r="D517" t="s">
        <v>1597</v>
      </c>
      <c r="E517">
        <v>623</v>
      </c>
    </row>
    <row r="518" spans="1:5" x14ac:dyDescent="0.25">
      <c r="A518" t="s">
        <v>1690</v>
      </c>
      <c r="B518" s="118">
        <v>1259874</v>
      </c>
      <c r="C518">
        <v>2015</v>
      </c>
      <c r="D518" t="s">
        <v>1597</v>
      </c>
      <c r="E518">
        <f>E448</f>
        <v>43</v>
      </c>
    </row>
    <row r="519" spans="1:5" x14ac:dyDescent="0.25">
      <c r="A519" t="s">
        <v>1691</v>
      </c>
      <c r="B519" s="118">
        <v>800000</v>
      </c>
      <c r="C519" s="129">
        <v>42579</v>
      </c>
      <c r="D519" t="s">
        <v>1692</v>
      </c>
      <c r="E519">
        <v>12</v>
      </c>
    </row>
    <row r="520" spans="1:5" x14ac:dyDescent="0.25">
      <c r="A520" t="s">
        <v>1693</v>
      </c>
      <c r="B520" s="118">
        <v>800000</v>
      </c>
      <c r="C520" s="137" t="s">
        <v>1242</v>
      </c>
      <c r="D520" t="s">
        <v>1692</v>
      </c>
      <c r="E520">
        <v>12</v>
      </c>
    </row>
    <row r="521" spans="1:5" x14ac:dyDescent="0.25">
      <c r="A521" t="s">
        <v>1694</v>
      </c>
      <c r="B521" s="118">
        <v>950000</v>
      </c>
      <c r="C521" s="137" t="s">
        <v>1242</v>
      </c>
      <c r="D521" t="s">
        <v>1692</v>
      </c>
      <c r="E521">
        <v>16</v>
      </c>
    </row>
    <row r="522" spans="1:5" x14ac:dyDescent="0.25">
      <c r="A522" t="s">
        <v>1695</v>
      </c>
      <c r="B522" s="118">
        <v>1400000</v>
      </c>
      <c r="C522" s="137" t="s">
        <v>1242</v>
      </c>
      <c r="D522" t="s">
        <v>1692</v>
      </c>
      <c r="E522">
        <v>22</v>
      </c>
    </row>
    <row r="523" spans="1:5" x14ac:dyDescent="0.25">
      <c r="A523" t="s">
        <v>1696</v>
      </c>
      <c r="B523" s="118">
        <v>1800000</v>
      </c>
      <c r="C523" s="137" t="s">
        <v>1242</v>
      </c>
      <c r="D523" t="s">
        <v>1692</v>
      </c>
      <c r="E523">
        <v>31</v>
      </c>
    </row>
    <row r="524" spans="1:5" x14ac:dyDescent="0.25">
      <c r="A524" t="s">
        <v>1697</v>
      </c>
      <c r="B524" s="118">
        <v>850000</v>
      </c>
      <c r="C524" s="119">
        <v>42414</v>
      </c>
      <c r="D524" t="s">
        <v>1692</v>
      </c>
      <c r="E524">
        <v>9</v>
      </c>
    </row>
    <row r="525" spans="1:5" x14ac:dyDescent="0.25">
      <c r="A525" t="s">
        <v>1698</v>
      </c>
      <c r="B525" s="118">
        <v>1100000</v>
      </c>
      <c r="C525" s="119">
        <v>42414</v>
      </c>
      <c r="D525" t="s">
        <v>1692</v>
      </c>
      <c r="E525">
        <v>13</v>
      </c>
    </row>
    <row r="526" spans="1:5" x14ac:dyDescent="0.25">
      <c r="A526" t="s">
        <v>1699</v>
      </c>
      <c r="B526" s="118">
        <v>1400000</v>
      </c>
      <c r="C526" s="119">
        <v>42414</v>
      </c>
      <c r="D526" t="s">
        <v>1692</v>
      </c>
      <c r="E526">
        <v>29</v>
      </c>
    </row>
    <row r="527" spans="1:5" x14ac:dyDescent="0.25">
      <c r="A527" t="s">
        <v>1700</v>
      </c>
      <c r="B527" s="118">
        <v>1410000</v>
      </c>
      <c r="C527" s="119">
        <v>42414</v>
      </c>
      <c r="D527" t="s">
        <v>1692</v>
      </c>
      <c r="E527">
        <v>29</v>
      </c>
    </row>
    <row r="528" spans="1:5" x14ac:dyDescent="0.25">
      <c r="A528" t="s">
        <v>1701</v>
      </c>
      <c r="B528" s="118">
        <v>1040000</v>
      </c>
      <c r="C528" s="119">
        <v>42414</v>
      </c>
      <c r="D528" t="s">
        <v>1692</v>
      </c>
      <c r="E528">
        <v>28</v>
      </c>
    </row>
    <row r="529" spans="1:6" x14ac:dyDescent="0.25">
      <c r="A529" t="s">
        <v>1702</v>
      </c>
      <c r="B529" s="118">
        <v>2260000</v>
      </c>
      <c r="C529" s="119">
        <v>42414</v>
      </c>
      <c r="D529" t="s">
        <v>1692</v>
      </c>
      <c r="E529">
        <v>87</v>
      </c>
    </row>
    <row r="530" spans="1:6" x14ac:dyDescent="0.25">
      <c r="A530" t="s">
        <v>1703</v>
      </c>
      <c r="B530" s="118">
        <v>4900000</v>
      </c>
      <c r="C530" s="119">
        <v>43405</v>
      </c>
      <c r="D530" t="s">
        <v>1692</v>
      </c>
      <c r="E530">
        <v>97</v>
      </c>
      <c r="F530" t="s">
        <v>1426</v>
      </c>
    </row>
    <row r="531" spans="1:6" x14ac:dyDescent="0.25">
      <c r="A531" t="s">
        <v>1704</v>
      </c>
      <c r="B531" s="118">
        <v>950000</v>
      </c>
      <c r="C531" s="119">
        <v>2015</v>
      </c>
      <c r="D531" t="s">
        <v>1597</v>
      </c>
      <c r="E531">
        <v>25</v>
      </c>
    </row>
    <row r="532" spans="1:6" x14ac:dyDescent="0.25">
      <c r="A532" t="s">
        <v>1705</v>
      </c>
      <c r="B532" s="118">
        <v>2600000</v>
      </c>
      <c r="C532" s="119">
        <v>42815</v>
      </c>
      <c r="D532" t="s">
        <v>1706</v>
      </c>
    </row>
    <row r="533" spans="1:6" x14ac:dyDescent="0.25">
      <c r="A533" s="117" t="s">
        <v>1707</v>
      </c>
      <c r="B533" s="117" t="s">
        <v>1280</v>
      </c>
      <c r="C533" s="117" t="s">
        <v>1226</v>
      </c>
      <c r="D533" s="117" t="s">
        <v>1227</v>
      </c>
    </row>
    <row r="534" spans="1:6" x14ac:dyDescent="0.25">
      <c r="A534" t="s">
        <v>1708</v>
      </c>
      <c r="B534" s="118">
        <v>50000</v>
      </c>
      <c r="C534" s="119">
        <v>42402</v>
      </c>
      <c r="E534">
        <v>3</v>
      </c>
    </row>
    <row r="535" spans="1:6" x14ac:dyDescent="0.25">
      <c r="A535" t="s">
        <v>1709</v>
      </c>
      <c r="B535" s="118">
        <v>80000</v>
      </c>
      <c r="C535" s="119">
        <v>42402</v>
      </c>
      <c r="E535">
        <v>5</v>
      </c>
    </row>
    <row r="536" spans="1:6" x14ac:dyDescent="0.25">
      <c r="A536" t="s">
        <v>75</v>
      </c>
      <c r="B536" s="118">
        <v>120000</v>
      </c>
      <c r="C536" s="119">
        <v>42402</v>
      </c>
      <c r="E536">
        <v>9</v>
      </c>
    </row>
    <row r="537" spans="1:6" x14ac:dyDescent="0.25">
      <c r="A537" t="s">
        <v>1710</v>
      </c>
      <c r="B537" s="118">
        <v>50000</v>
      </c>
      <c r="C537" s="119">
        <v>42402</v>
      </c>
    </row>
    <row r="538" spans="1:6" x14ac:dyDescent="0.25">
      <c r="A538" t="s">
        <v>1711</v>
      </c>
      <c r="B538" s="118">
        <v>3000000</v>
      </c>
      <c r="C538" t="s">
        <v>1251</v>
      </c>
      <c r="D538" t="s">
        <v>1295</v>
      </c>
      <c r="E538">
        <v>20</v>
      </c>
    </row>
    <row r="539" spans="1:6" x14ac:dyDescent="0.25">
      <c r="A539" s="117" t="s">
        <v>1712</v>
      </c>
      <c r="B539" s="117" t="s">
        <v>1713</v>
      </c>
    </row>
    <row r="540" spans="1:6" x14ac:dyDescent="0.25">
      <c r="A540" t="s">
        <v>1714</v>
      </c>
      <c r="B540" s="118">
        <v>205000</v>
      </c>
    </row>
    <row r="541" spans="1:6" x14ac:dyDescent="0.25">
      <c r="A541" t="s">
        <v>1715</v>
      </c>
      <c r="B541" s="118">
        <v>129000</v>
      </c>
    </row>
    <row r="542" spans="1:6" x14ac:dyDescent="0.25">
      <c r="A542" t="s">
        <v>1716</v>
      </c>
      <c r="B542" s="118">
        <v>61862</v>
      </c>
      <c r="C542" t="s">
        <v>1717</v>
      </c>
    </row>
    <row r="543" spans="1:6" x14ac:dyDescent="0.25">
      <c r="A543" t="s">
        <v>1718</v>
      </c>
      <c r="B543" s="118">
        <v>129249</v>
      </c>
    </row>
    <row r="544" spans="1:6" x14ac:dyDescent="0.25">
      <c r="A544" t="s">
        <v>1719</v>
      </c>
      <c r="B544" s="118">
        <v>85000</v>
      </c>
    </row>
    <row r="545" spans="1:3" x14ac:dyDescent="0.25">
      <c r="A545" t="s">
        <v>1720</v>
      </c>
      <c r="B545" s="138">
        <f>+B542/2</f>
        <v>30931</v>
      </c>
      <c r="C545" t="s">
        <v>1717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0"/>
  <sheetViews>
    <sheetView topLeftCell="A3" zoomScaleNormal="100" workbookViewId="0">
      <selection activeCell="F19" sqref="F19"/>
    </sheetView>
  </sheetViews>
  <sheetFormatPr baseColWidth="10" defaultColWidth="9.140625" defaultRowHeight="15" x14ac:dyDescent="0.25"/>
  <cols>
    <col min="1" max="1" width="22.42578125" customWidth="1"/>
    <col min="2" max="2" width="13.7109375" customWidth="1"/>
    <col min="3" max="3" width="69.28515625" customWidth="1"/>
    <col min="4" max="1025" width="10.5703125" customWidth="1"/>
  </cols>
  <sheetData>
    <row r="1" spans="1:3" ht="18.75" x14ac:dyDescent="0.3">
      <c r="A1" s="280" t="s">
        <v>66</v>
      </c>
      <c r="B1" s="280"/>
      <c r="C1" s="280"/>
    </row>
    <row r="2" spans="1:3" ht="18.75" x14ac:dyDescent="0.3">
      <c r="A2" s="139" t="s">
        <v>1721</v>
      </c>
      <c r="B2" s="139" t="s">
        <v>1280</v>
      </c>
      <c r="C2" s="140" t="s">
        <v>1722</v>
      </c>
    </row>
    <row r="3" spans="1:3" x14ac:dyDescent="0.25">
      <c r="A3" t="str">
        <f>P!A51</f>
        <v>P2-ABM</v>
      </c>
      <c r="B3" s="126">
        <f>P!D58</f>
        <v>381250</v>
      </c>
      <c r="C3" t="s">
        <v>1723</v>
      </c>
    </row>
    <row r="4" spans="1:3" x14ac:dyDescent="0.25">
      <c r="A4" t="str">
        <f>P!A1</f>
        <v>P2-BBM</v>
      </c>
      <c r="B4" s="126">
        <f>P!D8</f>
        <v>391250</v>
      </c>
      <c r="C4" t="s">
        <v>1724</v>
      </c>
    </row>
    <row r="5" spans="1:3" x14ac:dyDescent="0.25">
      <c r="A5" t="str">
        <f>P!A1459</f>
        <v>P2-BBMS</v>
      </c>
      <c r="B5" s="126">
        <f>P!D1466</f>
        <v>435200</v>
      </c>
      <c r="C5" t="s">
        <v>1725</v>
      </c>
    </row>
    <row r="6" spans="1:3" x14ac:dyDescent="0.25">
      <c r="A6" t="str">
        <f>P!A41</f>
        <v>P2-BCM</v>
      </c>
      <c r="B6" s="126">
        <f>P!D48</f>
        <v>423100</v>
      </c>
      <c r="C6" t="s">
        <v>1726</v>
      </c>
    </row>
    <row r="7" spans="1:3" x14ac:dyDescent="0.25">
      <c r="A7" t="str">
        <f>P!A1542</f>
        <v>P2-BCMS</v>
      </c>
      <c r="B7" s="126">
        <f>P!D1549</f>
        <v>472000</v>
      </c>
      <c r="C7" t="s">
        <v>1727</v>
      </c>
    </row>
    <row r="8" spans="1:3" x14ac:dyDescent="0.25">
      <c r="A8" t="str">
        <f>P!A1578</f>
        <v>P2-BEC</v>
      </c>
      <c r="B8" s="126">
        <f>P!D1584</f>
        <v>450000</v>
      </c>
      <c r="C8" t="s">
        <v>1728</v>
      </c>
    </row>
    <row r="9" spans="1:3" x14ac:dyDescent="0.25">
      <c r="A9" t="str">
        <f>P!A1586</f>
        <v>P2-BECS</v>
      </c>
      <c r="B9" s="126">
        <f>P!D1592</f>
        <v>561000</v>
      </c>
      <c r="C9" t="s">
        <v>1729</v>
      </c>
    </row>
    <row r="10" spans="1:3" x14ac:dyDescent="0.25">
      <c r="A10" t="str">
        <f>P!A784</f>
        <v>P2-BEM</v>
      </c>
      <c r="B10" s="126">
        <f>P!D791</f>
        <v>519150</v>
      </c>
      <c r="C10" t="s">
        <v>1730</v>
      </c>
    </row>
    <row r="11" spans="1:3" x14ac:dyDescent="0.25">
      <c r="A11" t="str">
        <f>+P!A2161</f>
        <v>P2-CCM</v>
      </c>
      <c r="B11" s="126">
        <f>+P!D2168</f>
        <v>458100</v>
      </c>
      <c r="C11" t="s">
        <v>1731</v>
      </c>
    </row>
    <row r="12" spans="1:3" x14ac:dyDescent="0.25">
      <c r="A12" t="str">
        <f>P!A1534</f>
        <v>P2-CGC</v>
      </c>
      <c r="B12" s="126">
        <f>P!D1540</f>
        <v>660000</v>
      </c>
      <c r="C12" t="s">
        <v>1732</v>
      </c>
    </row>
    <row r="13" spans="1:3" x14ac:dyDescent="0.25">
      <c r="A13" t="str">
        <f>P!A11</f>
        <v>P2-DBM</v>
      </c>
      <c r="B13" s="126">
        <f>P!D18</f>
        <v>441250</v>
      </c>
      <c r="C13" t="s">
        <v>1733</v>
      </c>
    </row>
    <row r="14" spans="1:3" x14ac:dyDescent="0.25">
      <c r="A14" t="str">
        <f>P!A21</f>
        <v>P2-DCM</v>
      </c>
      <c r="B14" s="126">
        <f>P!D28</f>
        <v>473100</v>
      </c>
      <c r="C14" t="s">
        <v>1734</v>
      </c>
    </row>
    <row r="15" spans="1:3" x14ac:dyDescent="0.25">
      <c r="A15" t="str">
        <f>P!A1551</f>
        <v>P2-DCMS</v>
      </c>
      <c r="B15" s="126">
        <f>P!D1558</f>
        <v>525000</v>
      </c>
      <c r="C15" t="s">
        <v>1735</v>
      </c>
    </row>
    <row r="16" spans="1:3" x14ac:dyDescent="0.25">
      <c r="A16" t="str">
        <f>P!A567</f>
        <v>P2-DDM</v>
      </c>
      <c r="B16" s="126">
        <f>P!D574</f>
        <v>433100</v>
      </c>
      <c r="C16" t="s">
        <v>1736</v>
      </c>
    </row>
    <row r="17" spans="1:3" x14ac:dyDescent="0.25">
      <c r="A17" t="str">
        <f>P!A1497</f>
        <v>P2-DDMS</v>
      </c>
      <c r="B17" s="126">
        <f>P!D1504</f>
        <v>525000</v>
      </c>
      <c r="C17" t="s">
        <v>1737</v>
      </c>
    </row>
    <row r="18" spans="1:3" x14ac:dyDescent="0.25">
      <c r="A18" t="str">
        <f>P!A854</f>
        <v>P2-DEM</v>
      </c>
      <c r="B18" s="126">
        <f>P!D861</f>
        <v>569150</v>
      </c>
      <c r="C18" t="s">
        <v>1738</v>
      </c>
    </row>
    <row r="19" spans="1:3" x14ac:dyDescent="0.25">
      <c r="A19" t="str">
        <f>P!A1366</f>
        <v>P2-GDM</v>
      </c>
      <c r="B19" s="126">
        <f>P!D1373</f>
        <v>523100</v>
      </c>
      <c r="C19" t="s">
        <v>1739</v>
      </c>
    </row>
    <row r="20" spans="1:3" x14ac:dyDescent="0.25">
      <c r="A20" t="str">
        <f>P!A61</f>
        <v>P2-GDMS</v>
      </c>
      <c r="B20" s="126">
        <f>P!D68</f>
        <v>581000</v>
      </c>
      <c r="C20" t="s">
        <v>1740</v>
      </c>
    </row>
    <row r="21" spans="1:3" x14ac:dyDescent="0.25">
      <c r="A21" t="str">
        <f>P!A586</f>
        <v>P2-GEM</v>
      </c>
      <c r="B21" s="126">
        <f>P!D593</f>
        <v>619150</v>
      </c>
      <c r="C21" t="s">
        <v>1741</v>
      </c>
    </row>
    <row r="22" spans="1:3" x14ac:dyDescent="0.25">
      <c r="A22" t="str">
        <f>P!A766</f>
        <v>P2-GEMS</v>
      </c>
      <c r="B22" s="126">
        <f>P!D773</f>
        <v>664150</v>
      </c>
      <c r="C22" t="s">
        <v>1742</v>
      </c>
    </row>
    <row r="23" spans="1:3" x14ac:dyDescent="0.25">
      <c r="A23" t="str">
        <f>+P!A1882</f>
        <v>P2-GFC</v>
      </c>
      <c r="B23" s="126">
        <f>+P!D1888</f>
        <v>580000</v>
      </c>
      <c r="C23" t="s">
        <v>1743</v>
      </c>
    </row>
    <row r="24" spans="1:3" x14ac:dyDescent="0.25">
      <c r="A24" t="str">
        <f>P!A961</f>
        <v>P2-GFM</v>
      </c>
      <c r="B24" s="126">
        <f>P!D968</f>
        <v>649150</v>
      </c>
      <c r="C24" t="s">
        <v>1744</v>
      </c>
    </row>
    <row r="25" spans="1:3" x14ac:dyDescent="0.25">
      <c r="A25" t="str">
        <f>P!A667</f>
        <v>P2-GGC</v>
      </c>
      <c r="B25" s="126">
        <f>P!D673</f>
        <v>610000</v>
      </c>
      <c r="C25" t="s">
        <v>1745</v>
      </c>
    </row>
    <row r="26" spans="1:3" x14ac:dyDescent="0.25">
      <c r="A26" t="str">
        <f>P!A811</f>
        <v>P2-GIC</v>
      </c>
      <c r="B26" s="126">
        <f>P!D817</f>
        <v>640000</v>
      </c>
      <c r="C26" t="s">
        <v>1746</v>
      </c>
    </row>
    <row r="27" spans="1:3" x14ac:dyDescent="0.25">
      <c r="A27" t="str">
        <f>P!A31</f>
        <v>P2-HCM</v>
      </c>
      <c r="B27" s="126">
        <f>P!D38</f>
        <v>563465</v>
      </c>
      <c r="C27" t="s">
        <v>1747</v>
      </c>
    </row>
    <row r="28" spans="1:3" x14ac:dyDescent="0.25">
      <c r="A28" t="str">
        <f>P!A1132</f>
        <v>P2-HDM</v>
      </c>
      <c r="B28" s="126">
        <f>P!D1139</f>
        <v>679150</v>
      </c>
      <c r="C28" t="s">
        <v>1748</v>
      </c>
    </row>
    <row r="29" spans="1:3" x14ac:dyDescent="0.25">
      <c r="A29" t="str">
        <f>P!A1798</f>
        <v>P2-HEC</v>
      </c>
      <c r="B29" s="126">
        <f>P!D1804</f>
        <v>610000</v>
      </c>
      <c r="C29" t="s">
        <v>1749</v>
      </c>
    </row>
    <row r="30" spans="1:3" x14ac:dyDescent="0.25">
      <c r="A30" t="str">
        <f>P!A501</f>
        <v>P2-HEM</v>
      </c>
      <c r="B30" s="126">
        <f>P!D508</f>
        <v>679150</v>
      </c>
      <c r="C30" t="s">
        <v>1750</v>
      </c>
    </row>
    <row r="31" spans="1:3" x14ac:dyDescent="0.25">
      <c r="A31" t="str">
        <f>P!A952</f>
        <v>P2-HFM</v>
      </c>
      <c r="B31" s="126">
        <f>P!D959</f>
        <v>679150</v>
      </c>
      <c r="C31" t="s">
        <v>1751</v>
      </c>
    </row>
    <row r="32" spans="1:3" x14ac:dyDescent="0.25">
      <c r="A32" t="str">
        <f>P!A1349</f>
        <v>P2-HFMS</v>
      </c>
      <c r="B32" s="126">
        <f>P!D1356</f>
        <v>730150</v>
      </c>
      <c r="C32" t="s">
        <v>1752</v>
      </c>
    </row>
    <row r="33" spans="1:3" x14ac:dyDescent="0.25">
      <c r="A33" t="str">
        <f>P!A997</f>
        <v>P2-HGC</v>
      </c>
      <c r="B33" s="126">
        <f>P!D1004</f>
        <v>750000</v>
      </c>
      <c r="C33" t="s">
        <v>1753</v>
      </c>
    </row>
    <row r="34" spans="1:3" x14ac:dyDescent="0.25">
      <c r="A34" t="str">
        <f>P!A1630</f>
        <v>P2-JDM</v>
      </c>
      <c r="B34" s="126">
        <f>P!D1637</f>
        <v>779150</v>
      </c>
      <c r="C34" t="s">
        <v>1754</v>
      </c>
    </row>
    <row r="35" spans="1:3" x14ac:dyDescent="0.25">
      <c r="A35" t="str">
        <f>P!A121</f>
        <v>P2-JEM</v>
      </c>
      <c r="B35" s="126">
        <f>P!D128</f>
        <v>779150</v>
      </c>
      <c r="C35" t="s">
        <v>1755</v>
      </c>
    </row>
    <row r="36" spans="1:3" x14ac:dyDescent="0.25">
      <c r="A36" t="str">
        <f>P!A1171</f>
        <v>P2-JFC</v>
      </c>
      <c r="B36" s="126">
        <f>P!D1177</f>
        <v>740000</v>
      </c>
      <c r="C36" t="s">
        <v>1756</v>
      </c>
    </row>
    <row r="37" spans="1:3" x14ac:dyDescent="0.25">
      <c r="A37" t="str">
        <f>P!A151</f>
        <v>P2-JGC</v>
      </c>
      <c r="B37" s="126">
        <f>P!D157</f>
        <v>770000</v>
      </c>
      <c r="C37" t="s">
        <v>1757</v>
      </c>
    </row>
    <row r="38" spans="1:3" x14ac:dyDescent="0.25">
      <c r="A38" t="str">
        <f>P!A1179</f>
        <v>P2-JIC</v>
      </c>
      <c r="B38" s="126">
        <f>P!D1185</f>
        <v>800000</v>
      </c>
      <c r="C38" t="s">
        <v>1758</v>
      </c>
    </row>
    <row r="39" spans="1:3" x14ac:dyDescent="0.25">
      <c r="A39" t="str">
        <f>P!A1323</f>
        <v>P2-JICS</v>
      </c>
      <c r="B39" s="126">
        <f>P!D1329</f>
        <v>889000</v>
      </c>
      <c r="C39" t="s">
        <v>1759</v>
      </c>
    </row>
    <row r="40" spans="1:3" x14ac:dyDescent="0.25">
      <c r="A40" s="135" t="str">
        <f>P!A131</f>
        <v>P2-KDM</v>
      </c>
      <c r="B40" s="141">
        <f>P!D138</f>
        <v>763100</v>
      </c>
      <c r="C40" s="135" t="s">
        <v>1760</v>
      </c>
    </row>
    <row r="41" spans="1:3" x14ac:dyDescent="0.25">
      <c r="A41" s="135" t="str">
        <f>+P!A2137</f>
        <v>P2-KEC</v>
      </c>
      <c r="B41" s="141">
        <f>+P!D2143</f>
        <v>790000</v>
      </c>
      <c r="C41" t="s">
        <v>1761</v>
      </c>
    </row>
    <row r="42" spans="1:3" x14ac:dyDescent="0.25">
      <c r="A42" t="str">
        <f>P!A141</f>
        <v>P2-KEM</v>
      </c>
      <c r="B42" s="126">
        <f>P!D148</f>
        <v>859150</v>
      </c>
      <c r="C42" t="s">
        <v>1762</v>
      </c>
    </row>
    <row r="43" spans="1:3" x14ac:dyDescent="0.25">
      <c r="A43" t="str">
        <f>P!A1516</f>
        <v>P2-KFC</v>
      </c>
      <c r="B43" s="126">
        <f>P!D1522</f>
        <v>820000</v>
      </c>
      <c r="C43" t="s">
        <v>1763</v>
      </c>
    </row>
    <row r="44" spans="1:3" x14ac:dyDescent="0.25">
      <c r="A44" t="str">
        <f>P!A160</f>
        <v>P2-KGC</v>
      </c>
      <c r="B44" s="126">
        <f>P!D166</f>
        <v>850000</v>
      </c>
      <c r="C44" t="s">
        <v>1764</v>
      </c>
    </row>
    <row r="45" spans="1:3" x14ac:dyDescent="0.25">
      <c r="A45" t="str">
        <f>P!A170</f>
        <v>P2-KIC</v>
      </c>
      <c r="B45" s="126">
        <f>P!D176</f>
        <v>880000</v>
      </c>
      <c r="C45" t="s">
        <v>1765</v>
      </c>
    </row>
    <row r="46" spans="1:3" x14ac:dyDescent="0.25">
      <c r="A46" t="str">
        <f>P!A749</f>
        <v>P2-KJC</v>
      </c>
      <c r="B46" s="126">
        <f>P!D755</f>
        <v>920000</v>
      </c>
      <c r="C46" t="s">
        <v>1766</v>
      </c>
    </row>
    <row r="47" spans="1:3" x14ac:dyDescent="0.25">
      <c r="A47" t="str">
        <f>P!A1358</f>
        <v>P2-KJCS</v>
      </c>
      <c r="B47" s="126">
        <f>P!D1364</f>
        <v>1028000</v>
      </c>
      <c r="C47" t="s">
        <v>1767</v>
      </c>
    </row>
    <row r="48" spans="1:3" x14ac:dyDescent="0.25">
      <c r="A48" t="str">
        <f>P!A1222</f>
        <v>P2-KMC</v>
      </c>
      <c r="B48" s="126">
        <f>P!D1228</f>
        <v>900000</v>
      </c>
      <c r="C48" t="s">
        <v>1768</v>
      </c>
    </row>
    <row r="49" spans="1:3" x14ac:dyDescent="0.25">
      <c r="A49" t="str">
        <f>+P!A2145</f>
        <v>P2-LGC</v>
      </c>
      <c r="B49" s="126">
        <f>+P!D2151</f>
        <v>1080000</v>
      </c>
      <c r="C49" t="s">
        <v>1769</v>
      </c>
    </row>
    <row r="50" spans="1:3" x14ac:dyDescent="0.25">
      <c r="A50" t="str">
        <f>P!A1195</f>
        <v>P2-LIC</v>
      </c>
      <c r="B50" s="126">
        <f>P!D1201</f>
        <v>1110000</v>
      </c>
      <c r="C50" t="s">
        <v>1770</v>
      </c>
    </row>
    <row r="51" spans="1:3" x14ac:dyDescent="0.25">
      <c r="A51" t="s">
        <v>1214</v>
      </c>
      <c r="B51" s="126">
        <f>+P!D2135</f>
        <v>1215000</v>
      </c>
      <c r="C51" t="s">
        <v>1771</v>
      </c>
    </row>
    <row r="52" spans="1:3" x14ac:dyDescent="0.25">
      <c r="A52" t="str">
        <f>P!A1187</f>
        <v>P2-LJC</v>
      </c>
      <c r="B52" s="126">
        <f>P!D1193</f>
        <v>1150000</v>
      </c>
      <c r="C52" t="s">
        <v>1772</v>
      </c>
    </row>
    <row r="53" spans="1:3" x14ac:dyDescent="0.25">
      <c r="A53" t="str">
        <f>P!A1665</f>
        <v>P2-MGCS</v>
      </c>
      <c r="B53" s="126">
        <f>P!D1671</f>
        <v>960000</v>
      </c>
      <c r="C53" t="s">
        <v>1773</v>
      </c>
    </row>
    <row r="54" spans="1:3" x14ac:dyDescent="0.25">
      <c r="A54" t="str">
        <f>P!A1693</f>
        <v>P2-MICS</v>
      </c>
      <c r="B54" s="126">
        <f>P!D1699</f>
        <v>1270000</v>
      </c>
      <c r="C54" t="s">
        <v>1774</v>
      </c>
    </row>
    <row r="55" spans="1:3" x14ac:dyDescent="0.25">
      <c r="A55" t="str">
        <f>P!A1305</f>
        <v>P2-XDM</v>
      </c>
      <c r="B55" s="126">
        <f>P!D1312</f>
        <v>923100</v>
      </c>
      <c r="C55" t="s">
        <v>1775</v>
      </c>
    </row>
    <row r="56" spans="1:3" x14ac:dyDescent="0.25">
      <c r="A56" t="str">
        <f>P!A1710</f>
        <v>P2-XGC</v>
      </c>
      <c r="B56" s="126">
        <f>P!D1716</f>
        <v>1010000</v>
      </c>
      <c r="C56" t="s">
        <v>1776</v>
      </c>
    </row>
    <row r="57" spans="1:3" x14ac:dyDescent="0.25">
      <c r="A57" t="str">
        <f>P!A1718</f>
        <v>P2-XGCS</v>
      </c>
      <c r="B57" s="126">
        <f>P!D1724</f>
        <v>1165000</v>
      </c>
      <c r="C57" t="s">
        <v>1777</v>
      </c>
    </row>
    <row r="58" spans="1:3" x14ac:dyDescent="0.25">
      <c r="A58" t="str">
        <f>P!A1239</f>
        <v>P2-XMC</v>
      </c>
      <c r="B58" s="126">
        <f>P!D1245</f>
        <v>1060000</v>
      </c>
      <c r="C58" t="s">
        <v>1778</v>
      </c>
    </row>
    <row r="59" spans="1:3" x14ac:dyDescent="0.25">
      <c r="A59" t="str">
        <f>P!A180</f>
        <v>P3-BBM</v>
      </c>
      <c r="B59" s="126">
        <f>P!D187</f>
        <v>436250</v>
      </c>
      <c r="C59" t="s">
        <v>1779</v>
      </c>
    </row>
    <row r="60" spans="1:3" x14ac:dyDescent="0.25">
      <c r="A60" t="str">
        <f>P!A1450</f>
        <v>P3-BBMS</v>
      </c>
      <c r="B60" s="126">
        <f>P!D1457</f>
        <v>482200</v>
      </c>
      <c r="C60" t="s">
        <v>1780</v>
      </c>
    </row>
    <row r="61" spans="1:3" x14ac:dyDescent="0.25">
      <c r="A61" t="str">
        <f>P!A926</f>
        <v>P3-BCM</v>
      </c>
      <c r="B61" s="126">
        <f>P!D933</f>
        <v>468100</v>
      </c>
      <c r="C61" t="s">
        <v>1781</v>
      </c>
    </row>
    <row r="62" spans="1:3" x14ac:dyDescent="0.25">
      <c r="A62" t="str">
        <f>P!A190</f>
        <v>P3-CBM</v>
      </c>
      <c r="B62" s="126">
        <f>P!D197</f>
        <v>451250</v>
      </c>
      <c r="C62" t="s">
        <v>1782</v>
      </c>
    </row>
    <row r="63" spans="1:3" x14ac:dyDescent="0.25">
      <c r="A63" t="str">
        <f>P!A454</f>
        <v>P3-CBMS</v>
      </c>
      <c r="B63" s="126">
        <f>P!D461</f>
        <v>501200</v>
      </c>
      <c r="C63" t="s">
        <v>1783</v>
      </c>
    </row>
    <row r="64" spans="1:3" x14ac:dyDescent="0.25">
      <c r="A64" t="str">
        <f>P!A91</f>
        <v>P3-CCM</v>
      </c>
      <c r="B64" s="126">
        <f>P!D98</f>
        <v>483100</v>
      </c>
      <c r="C64" t="s">
        <v>1784</v>
      </c>
    </row>
    <row r="65" spans="1:3" x14ac:dyDescent="0.25">
      <c r="A65" t="str">
        <f>P!A675</f>
        <v>P3-CCMS</v>
      </c>
      <c r="B65" s="126">
        <f>P!D682</f>
        <v>538000</v>
      </c>
      <c r="C65" t="s">
        <v>1785</v>
      </c>
    </row>
    <row r="66" spans="1:3" x14ac:dyDescent="0.25">
      <c r="A66" t="str">
        <f>P!A693</f>
        <v>P3-CDM</v>
      </c>
      <c r="B66" s="126">
        <f>P!D700</f>
        <v>483100</v>
      </c>
      <c r="C66" t="s">
        <v>1786</v>
      </c>
    </row>
    <row r="67" spans="1:3" x14ac:dyDescent="0.25">
      <c r="A67" t="str">
        <f>P!A1746</f>
        <v>P3-CEC</v>
      </c>
      <c r="B67" s="126">
        <f>P!D1752</f>
        <v>500000</v>
      </c>
      <c r="C67" t="s">
        <v>1787</v>
      </c>
    </row>
    <row r="68" spans="1:3" x14ac:dyDescent="0.25">
      <c r="A68" t="str">
        <f>P!A200</f>
        <v>P3-EBM</v>
      </c>
      <c r="B68" s="126">
        <f>P!D207</f>
        <v>476250</v>
      </c>
      <c r="C68" t="s">
        <v>1788</v>
      </c>
    </row>
    <row r="69" spans="1:3" x14ac:dyDescent="0.25">
      <c r="A69" t="str">
        <f>P!A445</f>
        <v>P3-EBMS</v>
      </c>
      <c r="B69" s="126">
        <f>P!D452</f>
        <v>532200</v>
      </c>
      <c r="C69" t="s">
        <v>1789</v>
      </c>
    </row>
    <row r="70" spans="1:3" x14ac:dyDescent="0.25">
      <c r="A70" t="str">
        <f>P!A613</f>
        <v>P3-ECM</v>
      </c>
      <c r="B70" s="126">
        <f>P!D620</f>
        <v>515800</v>
      </c>
      <c r="C70" t="s">
        <v>1790</v>
      </c>
    </row>
    <row r="71" spans="1:3" x14ac:dyDescent="0.25">
      <c r="A71" t="str">
        <f>P!A1613</f>
        <v>P3-ECMS</v>
      </c>
      <c r="B71" s="126">
        <f>P!D1620</f>
        <v>581000</v>
      </c>
      <c r="C71" t="s">
        <v>1791</v>
      </c>
    </row>
    <row r="72" spans="1:3" x14ac:dyDescent="0.25">
      <c r="A72" t="str">
        <f>P!A1639</f>
        <v>P3-EDC</v>
      </c>
      <c r="B72" s="126">
        <f>P!D1645</f>
        <v>515000</v>
      </c>
      <c r="C72" t="s">
        <v>1792</v>
      </c>
    </row>
    <row r="73" spans="1:3" x14ac:dyDescent="0.25">
      <c r="A73" t="str">
        <f>P!A111</f>
        <v>P3-EDM</v>
      </c>
      <c r="B73" s="126">
        <f>P!D118</f>
        <v>515800</v>
      </c>
      <c r="C73" t="s">
        <v>1793</v>
      </c>
    </row>
    <row r="74" spans="1:3" x14ac:dyDescent="0.25">
      <c r="A74" t="str">
        <f>P!A793</f>
        <v>P3-EEC</v>
      </c>
      <c r="B74" s="126">
        <f>P!D800</f>
        <v>605000</v>
      </c>
      <c r="C74" t="s">
        <v>1794</v>
      </c>
    </row>
    <row r="75" spans="1:3" x14ac:dyDescent="0.25">
      <c r="A75" t="str">
        <f>P!A979</f>
        <v>P3-EEM</v>
      </c>
      <c r="B75" s="126">
        <f>P!D986</f>
        <v>627200</v>
      </c>
      <c r="C75" t="s">
        <v>1795</v>
      </c>
    </row>
    <row r="76" spans="1:3" x14ac:dyDescent="0.25">
      <c r="A76" t="str">
        <f>P!A890</f>
        <v>P3-EFC</v>
      </c>
      <c r="B76" s="126">
        <f>P!D897</f>
        <v>625000</v>
      </c>
      <c r="C76" t="s">
        <v>1796</v>
      </c>
    </row>
    <row r="77" spans="1:3" x14ac:dyDescent="0.25">
      <c r="A77" t="str">
        <f>P!A881</f>
        <v>P3-GBM</v>
      </c>
      <c r="B77" s="126">
        <f>P!D888</f>
        <v>541250</v>
      </c>
      <c r="C77" t="s">
        <v>1797</v>
      </c>
    </row>
    <row r="78" spans="1:3" x14ac:dyDescent="0.25">
      <c r="A78" t="str">
        <f>P!A210</f>
        <v>P3-GCM</v>
      </c>
      <c r="B78" s="126">
        <f>P!D217</f>
        <v>573100</v>
      </c>
      <c r="C78" t="s">
        <v>1798</v>
      </c>
    </row>
    <row r="79" spans="1:3" x14ac:dyDescent="0.25">
      <c r="A79" t="str">
        <f>P!A2090</f>
        <v>P3-GDC</v>
      </c>
      <c r="B79" s="126">
        <f>P!D2097</f>
        <v>655000</v>
      </c>
      <c r="C79" t="s">
        <v>1799</v>
      </c>
    </row>
    <row r="80" spans="1:3" x14ac:dyDescent="0.25">
      <c r="A80" t="str">
        <f>P!A2099</f>
        <v>P3-GDCS</v>
      </c>
      <c r="B80" s="126">
        <f>P!D2106</f>
        <v>745000</v>
      </c>
      <c r="C80" t="s">
        <v>1800</v>
      </c>
    </row>
    <row r="81" spans="1:3" x14ac:dyDescent="0.25">
      <c r="A81" t="str">
        <f>P!A71</f>
        <v>P3-GDM</v>
      </c>
      <c r="B81" s="126">
        <f>P!D78</f>
        <v>573100</v>
      </c>
      <c r="C81" t="s">
        <v>1801</v>
      </c>
    </row>
    <row r="82" spans="1:3" x14ac:dyDescent="0.25">
      <c r="A82" t="str">
        <f>P!A81</f>
        <v>P3-GDMS</v>
      </c>
      <c r="B82" s="126">
        <f>P!D88</f>
        <v>646000</v>
      </c>
      <c r="C82" t="s">
        <v>1802</v>
      </c>
    </row>
    <row r="83" spans="1:3" x14ac:dyDescent="0.25">
      <c r="A83" t="str">
        <f>+P!A1945</f>
        <v>P3-GEC</v>
      </c>
      <c r="B83" s="126">
        <f>+P!D1952</f>
        <v>665000</v>
      </c>
      <c r="C83" t="s">
        <v>1803</v>
      </c>
    </row>
    <row r="84" spans="1:3" x14ac:dyDescent="0.25">
      <c r="A84" t="str">
        <f>+P!A2054</f>
        <v>P3-GECS</v>
      </c>
      <c r="B84" s="126">
        <f>+P!D2061</f>
        <v>745000</v>
      </c>
      <c r="C84" t="s">
        <v>1804</v>
      </c>
    </row>
    <row r="85" spans="1:3" x14ac:dyDescent="0.25">
      <c r="A85" t="str">
        <f>P!A775</f>
        <v>P3-GEM</v>
      </c>
      <c r="B85" s="126">
        <f>P!D782</f>
        <v>669150</v>
      </c>
      <c r="C85" t="s">
        <v>1805</v>
      </c>
    </row>
    <row r="86" spans="1:3" x14ac:dyDescent="0.25">
      <c r="A86" t="str">
        <f>P!A1441</f>
        <v>P3-GEMS</v>
      </c>
      <c r="B86" s="126">
        <f>P!D1448</f>
        <v>729150</v>
      </c>
      <c r="C86" t="s">
        <v>1806</v>
      </c>
    </row>
    <row r="87" spans="1:3" x14ac:dyDescent="0.25">
      <c r="A87" t="str">
        <f>P!A988</f>
        <v>P3-GFM</v>
      </c>
      <c r="B87" s="126">
        <f>P!D995</f>
        <v>669150</v>
      </c>
      <c r="C87" t="s">
        <v>1807</v>
      </c>
    </row>
    <row r="88" spans="1:3" x14ac:dyDescent="0.25">
      <c r="A88" t="str">
        <f>P!A1340</f>
        <v>P3-GFMS</v>
      </c>
      <c r="B88" s="126">
        <f>P!D1347</f>
        <v>729150</v>
      </c>
      <c r="C88" t="s">
        <v>1808</v>
      </c>
    </row>
    <row r="89" spans="1:3" x14ac:dyDescent="0.25">
      <c r="A89" t="str">
        <f>P!A1622</f>
        <v>P3-GFC</v>
      </c>
      <c r="B89" s="126">
        <f>P!D1628</f>
        <v>610000</v>
      </c>
      <c r="C89" t="s">
        <v>1809</v>
      </c>
    </row>
    <row r="90" spans="1:3" x14ac:dyDescent="0.25">
      <c r="A90" t="str">
        <f>+P!A1890</f>
        <v>P3-GGC</v>
      </c>
      <c r="B90" s="126">
        <f>+P!D1897</f>
        <v>705000</v>
      </c>
      <c r="C90" t="s">
        <v>1810</v>
      </c>
    </row>
    <row r="91" spans="1:3" x14ac:dyDescent="0.25">
      <c r="A91" t="str">
        <f>P!A1114</f>
        <v>P3-GIC</v>
      </c>
      <c r="B91" s="126">
        <f>P!D1121</f>
        <v>765000</v>
      </c>
      <c r="C91" t="s">
        <v>1811</v>
      </c>
    </row>
    <row r="92" spans="1:3" x14ac:dyDescent="0.25">
      <c r="A92" t="str">
        <f>P!A538</f>
        <v>P3-IBM</v>
      </c>
      <c r="B92" s="126">
        <f>P!D545</f>
        <v>663100</v>
      </c>
      <c r="C92" t="s">
        <v>1812</v>
      </c>
    </row>
    <row r="93" spans="1:3" x14ac:dyDescent="0.25">
      <c r="A93" t="str">
        <f>P!A1314</f>
        <v>P3-ICM</v>
      </c>
      <c r="B93" s="126">
        <f>P!D1321</f>
        <v>663100</v>
      </c>
      <c r="C93" t="s">
        <v>1813</v>
      </c>
    </row>
    <row r="94" spans="1:3" x14ac:dyDescent="0.25">
      <c r="A94" t="str">
        <f>P!A547</f>
        <v>P3-IDM</v>
      </c>
      <c r="B94" s="126">
        <f>P!D554</f>
        <v>663100</v>
      </c>
      <c r="C94" t="s">
        <v>1814</v>
      </c>
    </row>
    <row r="95" spans="1:3" x14ac:dyDescent="0.25">
      <c r="A95" t="str">
        <f>P!A1764</f>
        <v>P3-IDMS</v>
      </c>
      <c r="B95" s="126">
        <f>P!D1771</f>
        <v>748000</v>
      </c>
      <c r="C95" t="s">
        <v>1815</v>
      </c>
    </row>
    <row r="96" spans="1:3" x14ac:dyDescent="0.25">
      <c r="A96" t="str">
        <f>+P!A2010</f>
        <v>P3-IEC</v>
      </c>
      <c r="B96" s="126">
        <f>+P!D2016</f>
        <v>680000</v>
      </c>
      <c r="C96" t="s">
        <v>1816</v>
      </c>
    </row>
    <row r="97" spans="1:3" x14ac:dyDescent="0.25">
      <c r="A97" t="str">
        <f>P!A220</f>
        <v>P3-IEM</v>
      </c>
      <c r="B97" s="126">
        <f>P!D227</f>
        <v>759150</v>
      </c>
      <c r="C97" t="s">
        <v>1817</v>
      </c>
    </row>
    <row r="98" spans="1:3" x14ac:dyDescent="0.25">
      <c r="A98" t="str">
        <f>+P!A1994</f>
        <v>P3-IFC</v>
      </c>
      <c r="B98" s="126">
        <f>+P!D2000</f>
        <v>700000</v>
      </c>
      <c r="C98" t="s">
        <v>1818</v>
      </c>
    </row>
    <row r="99" spans="1:3" x14ac:dyDescent="0.25">
      <c r="A99" t="str">
        <f>+P!A2002</f>
        <v>P3-IFCS</v>
      </c>
      <c r="B99" s="126">
        <f>+P!D2008</f>
        <v>792000</v>
      </c>
      <c r="C99" t="s">
        <v>1819</v>
      </c>
    </row>
    <row r="100" spans="1:3" x14ac:dyDescent="0.25">
      <c r="A100" t="str">
        <f>P!A970</f>
        <v>P3-IFM</v>
      </c>
      <c r="B100" s="126">
        <f>P!D977</f>
        <v>759150</v>
      </c>
      <c r="C100" t="s">
        <v>1820</v>
      </c>
    </row>
    <row r="101" spans="1:3" x14ac:dyDescent="0.25">
      <c r="A101" t="str">
        <f>P!A659</f>
        <v>P3-IGC</v>
      </c>
      <c r="B101" s="126">
        <f>P!D665</f>
        <v>720000</v>
      </c>
      <c r="C101" t="s">
        <v>1821</v>
      </c>
    </row>
    <row r="102" spans="1:3" x14ac:dyDescent="0.25">
      <c r="A102" t="str">
        <f>P!A731</f>
        <v>P3-IIC</v>
      </c>
      <c r="B102" s="126">
        <f>P!D737</f>
        <v>765000</v>
      </c>
      <c r="C102" t="s">
        <v>1822</v>
      </c>
    </row>
    <row r="103" spans="1:3" x14ac:dyDescent="0.25">
      <c r="A103" t="str">
        <f>P!A529</f>
        <v>P3-JCM</v>
      </c>
      <c r="B103" s="126">
        <f>P!D536</f>
        <v>728100</v>
      </c>
      <c r="C103" t="s">
        <v>1823</v>
      </c>
    </row>
    <row r="104" spans="1:3" x14ac:dyDescent="0.25">
      <c r="A104" t="s">
        <v>1197</v>
      </c>
      <c r="B104" s="126">
        <f>+P!D2070</f>
        <v>825000</v>
      </c>
      <c r="C104" t="s">
        <v>1824</v>
      </c>
    </row>
    <row r="105" spans="1:3" x14ac:dyDescent="0.25">
      <c r="A105" t="str">
        <f>P!A1123</f>
        <v>P3-JDM</v>
      </c>
      <c r="B105" s="126">
        <f>P!D1130</f>
        <v>847200</v>
      </c>
      <c r="C105" t="s">
        <v>1825</v>
      </c>
    </row>
    <row r="106" spans="1:3" x14ac:dyDescent="0.25">
      <c r="A106" s="135" t="str">
        <f>P!A230</f>
        <v>P3-JEC</v>
      </c>
      <c r="B106" s="141">
        <f>P!D236</f>
        <v>745000</v>
      </c>
      <c r="C106" s="135" t="s">
        <v>1826</v>
      </c>
    </row>
    <row r="107" spans="1:3" x14ac:dyDescent="0.25">
      <c r="A107" s="135" t="str">
        <f>P!A1782</f>
        <v>P3-JECS</v>
      </c>
      <c r="B107" s="141">
        <f>P!D1788</f>
        <v>847000</v>
      </c>
      <c r="C107" s="135" t="s">
        <v>1827</v>
      </c>
    </row>
    <row r="108" spans="1:3" x14ac:dyDescent="0.25">
      <c r="A108" s="135" t="str">
        <f>P!A1105</f>
        <v>P3-JEM</v>
      </c>
      <c r="B108" s="141">
        <f>P!D1112</f>
        <v>847200</v>
      </c>
      <c r="C108" s="135" t="s">
        <v>1828</v>
      </c>
    </row>
    <row r="109" spans="1:3" x14ac:dyDescent="0.25">
      <c r="A109" s="16" t="str">
        <f>P!A399</f>
        <v>P3-JFC</v>
      </c>
      <c r="B109" s="122">
        <f>P!D405</f>
        <v>765000</v>
      </c>
      <c r="C109" s="16" t="s">
        <v>1829</v>
      </c>
    </row>
    <row r="110" spans="1:3" x14ac:dyDescent="0.25">
      <c r="A110" s="16" t="str">
        <f>P!A1790</f>
        <v>P3-JFCS</v>
      </c>
      <c r="B110" s="122">
        <f>P!D1796</f>
        <v>867000</v>
      </c>
      <c r="C110" s="16" t="s">
        <v>1830</v>
      </c>
    </row>
    <row r="111" spans="1:3" x14ac:dyDescent="0.25">
      <c r="A111" t="str">
        <f>P!A279</f>
        <v>P3-JGC</v>
      </c>
      <c r="B111" s="126">
        <f>P!D285</f>
        <v>785000</v>
      </c>
      <c r="C111" s="16" t="s">
        <v>1831</v>
      </c>
    </row>
    <row r="112" spans="1:3" x14ac:dyDescent="0.25">
      <c r="A112" t="str">
        <f>P!A722</f>
        <v>P3-JGCS</v>
      </c>
      <c r="B112" s="126">
        <f>P!D728</f>
        <v>897000</v>
      </c>
      <c r="C112" t="s">
        <v>1832</v>
      </c>
    </row>
    <row r="113" spans="1:3" x14ac:dyDescent="0.25">
      <c r="A113" t="str">
        <f>P!A1478</f>
        <v>P3-JIC</v>
      </c>
      <c r="B113" s="126">
        <f>P!D1485</f>
        <v>830000</v>
      </c>
      <c r="C113" s="16" t="s">
        <v>1833</v>
      </c>
    </row>
    <row r="114" spans="1:3" x14ac:dyDescent="0.25">
      <c r="A114" t="str">
        <f>P!A1773</f>
        <v>P3-JICS</v>
      </c>
      <c r="B114" s="126">
        <f>P!D1780</f>
        <v>1027000</v>
      </c>
      <c r="C114" s="16" t="s">
        <v>1834</v>
      </c>
    </row>
    <row r="115" spans="1:3" x14ac:dyDescent="0.25">
      <c r="A115" t="str">
        <f>P!A908</f>
        <v>P3-KCM</v>
      </c>
      <c r="B115" s="126">
        <f>P!D915</f>
        <v>783100</v>
      </c>
      <c r="C115" t="s">
        <v>1835</v>
      </c>
    </row>
    <row r="116" spans="1:3" x14ac:dyDescent="0.25">
      <c r="A116" s="135" t="str">
        <f>P!A240</f>
        <v>P3-KDC</v>
      </c>
      <c r="B116" s="141">
        <f>P!D246</f>
        <v>790000</v>
      </c>
      <c r="C116" s="135" t="s">
        <v>1836</v>
      </c>
    </row>
    <row r="117" spans="1:3" x14ac:dyDescent="0.25">
      <c r="A117" s="16" t="str">
        <f>P!A684</f>
        <v>P3-KDM</v>
      </c>
      <c r="B117" s="122">
        <f>P!D691</f>
        <v>783100</v>
      </c>
      <c r="C117" s="135" t="s">
        <v>1837</v>
      </c>
    </row>
    <row r="118" spans="1:3" x14ac:dyDescent="0.25">
      <c r="A118" s="16" t="str">
        <f>P!A1647</f>
        <v>P3-KEC</v>
      </c>
      <c r="B118" s="122">
        <f>P!D1653</f>
        <v>800000</v>
      </c>
      <c r="C118" s="135" t="s">
        <v>1838</v>
      </c>
    </row>
    <row r="119" spans="1:3" x14ac:dyDescent="0.25">
      <c r="A119" s="16" t="str">
        <f>P!A863</f>
        <v>P3-KEM</v>
      </c>
      <c r="B119" s="122">
        <f>P!D870</f>
        <v>879150</v>
      </c>
      <c r="C119" s="135" t="s">
        <v>1839</v>
      </c>
    </row>
    <row r="120" spans="1:3" x14ac:dyDescent="0.25">
      <c r="A120" s="16" t="str">
        <f>+P!A2018</f>
        <v>P3-KFC</v>
      </c>
      <c r="B120" s="122">
        <f>+P!D2024</f>
        <v>820000</v>
      </c>
      <c r="C120" s="16" t="s">
        <v>1840</v>
      </c>
    </row>
    <row r="121" spans="1:3" x14ac:dyDescent="0.25">
      <c r="A121" s="16" t="str">
        <f>P!A828</f>
        <v>P3-KFCS</v>
      </c>
      <c r="B121" s="122">
        <f>P!D834</f>
        <v>932000</v>
      </c>
      <c r="C121" s="16" t="s">
        <v>1841</v>
      </c>
    </row>
    <row r="122" spans="1:3" x14ac:dyDescent="0.25">
      <c r="A122" s="16" t="str">
        <f>P!A1412</f>
        <v>P3-KGC</v>
      </c>
      <c r="B122" s="122">
        <f>P!D1419</f>
        <v>920000</v>
      </c>
      <c r="C122" s="16" t="s">
        <v>1842</v>
      </c>
    </row>
    <row r="123" spans="1:3" x14ac:dyDescent="0.25">
      <c r="A123" s="16" t="str">
        <f>P!A899</f>
        <v>P3-KGCS</v>
      </c>
      <c r="B123" s="122">
        <f>P!D906</f>
        <v>962000</v>
      </c>
      <c r="C123" s="16" t="s">
        <v>1843</v>
      </c>
    </row>
    <row r="124" spans="1:3" x14ac:dyDescent="0.25">
      <c r="A124" s="16" t="str">
        <f>P!A1385</f>
        <v>P3-KIC</v>
      </c>
      <c r="B124" s="122">
        <f>P!D1391</f>
        <v>977000</v>
      </c>
      <c r="C124" s="16" t="s">
        <v>1844</v>
      </c>
    </row>
    <row r="125" spans="1:3" x14ac:dyDescent="0.25">
      <c r="A125" s="16" t="str">
        <f>P!A1421</f>
        <v>P3-KJC</v>
      </c>
      <c r="B125" s="122">
        <f>P!D1429</f>
        <v>1360000</v>
      </c>
      <c r="C125" s="16" t="s">
        <v>1845</v>
      </c>
    </row>
    <row r="126" spans="1:3" x14ac:dyDescent="0.25">
      <c r="A126" s="16" t="str">
        <f>P!A1431</f>
        <v>P3-KJCS</v>
      </c>
      <c r="B126" s="122">
        <f>P!D1439</f>
        <v>1502000</v>
      </c>
      <c r="C126" s="16" t="s">
        <v>1846</v>
      </c>
    </row>
    <row r="127" spans="1:3" x14ac:dyDescent="0.25">
      <c r="A127" s="16" t="str">
        <f>+P!A1899</f>
        <v>P3-LDC</v>
      </c>
      <c r="B127" s="122">
        <f>+P!D1905</f>
        <v>1210000</v>
      </c>
      <c r="C127" s="135" t="s">
        <v>1847</v>
      </c>
    </row>
    <row r="128" spans="1:3" x14ac:dyDescent="0.25">
      <c r="A128" s="135" t="str">
        <f>P!A250</f>
        <v>P3-LEC</v>
      </c>
      <c r="B128" s="141">
        <f>P!D256</f>
        <v>1220000</v>
      </c>
      <c r="C128" s="135" t="s">
        <v>1848</v>
      </c>
    </row>
    <row r="129" spans="1:3" x14ac:dyDescent="0.25">
      <c r="A129" t="str">
        <f>P!A595</f>
        <v>P3-LEM</v>
      </c>
      <c r="B129" s="126">
        <f>P!D602</f>
        <v>1299150</v>
      </c>
      <c r="C129" t="s">
        <v>1849</v>
      </c>
    </row>
    <row r="130" spans="1:3" x14ac:dyDescent="0.25">
      <c r="A130" t="str">
        <f>P!A757</f>
        <v>P3-LEMS</v>
      </c>
      <c r="B130" s="126">
        <f>P!D764</f>
        <v>1404150</v>
      </c>
      <c r="C130" t="s">
        <v>1850</v>
      </c>
    </row>
    <row r="131" spans="1:3" x14ac:dyDescent="0.25">
      <c r="A131" t="str">
        <f>P!A289</f>
        <v>P3-LFC</v>
      </c>
      <c r="B131" s="126">
        <f>P!D296</f>
        <v>1420000</v>
      </c>
      <c r="C131" s="16" t="s">
        <v>1851</v>
      </c>
    </row>
    <row r="132" spans="1:3" x14ac:dyDescent="0.25">
      <c r="A132" t="str">
        <f>P!A1331</f>
        <v>P3-LFCS</v>
      </c>
      <c r="B132" s="126">
        <f>P!D1338</f>
        <v>1545000</v>
      </c>
      <c r="C132" s="16" t="s">
        <v>1852</v>
      </c>
    </row>
    <row r="133" spans="1:3" x14ac:dyDescent="0.25">
      <c r="A133" t="str">
        <f>P!A622</f>
        <v>P3-LGC</v>
      </c>
      <c r="B133" s="126">
        <f>P!D629</f>
        <v>1440000</v>
      </c>
      <c r="C133" s="16" t="s">
        <v>1853</v>
      </c>
    </row>
    <row r="134" spans="1:3" x14ac:dyDescent="0.25">
      <c r="A134" t="str">
        <f>P!A1604</f>
        <v>P3-LGCS</v>
      </c>
      <c r="B134" s="126">
        <f>P!D1611</f>
        <v>1575000</v>
      </c>
      <c r="C134" s="16" t="s">
        <v>1854</v>
      </c>
    </row>
    <row r="135" spans="1:3" x14ac:dyDescent="0.25">
      <c r="A135" s="16" t="str">
        <f>P!A436</f>
        <v>P3-LIC</v>
      </c>
      <c r="B135" s="122">
        <f>P!D443</f>
        <v>1305000</v>
      </c>
      <c r="C135" s="16" t="s">
        <v>1855</v>
      </c>
    </row>
    <row r="136" spans="1:3" x14ac:dyDescent="0.25">
      <c r="A136" s="16" t="str">
        <f>P!A1213</f>
        <v>P3-LICS</v>
      </c>
      <c r="B136" s="122">
        <f>P!D1220</f>
        <v>1601000</v>
      </c>
      <c r="C136" s="16" t="s">
        <v>1856</v>
      </c>
    </row>
    <row r="137" spans="1:3" x14ac:dyDescent="0.25">
      <c r="A137" t="str">
        <f>P!A819</f>
        <v>P3-LJC</v>
      </c>
      <c r="B137" s="126">
        <f>P!D826</f>
        <v>1530000</v>
      </c>
      <c r="C137" s="16" t="s">
        <v>1857</v>
      </c>
    </row>
    <row r="138" spans="1:3" x14ac:dyDescent="0.25">
      <c r="A138" t="str">
        <f>P!A845</f>
        <v>P3-LJCS</v>
      </c>
      <c r="B138" s="126">
        <f>P!D852</f>
        <v>1865000</v>
      </c>
      <c r="C138" s="16" t="s">
        <v>1858</v>
      </c>
    </row>
    <row r="139" spans="1:3" x14ac:dyDescent="0.25">
      <c r="A139" s="16" t="str">
        <f>P!A259</f>
        <v>P3-MEC</v>
      </c>
      <c r="B139" s="122">
        <f>P!D266</f>
        <v>2070000</v>
      </c>
      <c r="C139" s="16" t="s">
        <v>1859</v>
      </c>
    </row>
    <row r="140" spans="1:3" x14ac:dyDescent="0.25">
      <c r="A140" s="16" t="str">
        <f>P!A604</f>
        <v>P3-MEM</v>
      </c>
      <c r="B140" s="122">
        <f>P!D611</f>
        <v>1889150</v>
      </c>
      <c r="C140" s="16" t="s">
        <v>1860</v>
      </c>
    </row>
    <row r="141" spans="1:3" x14ac:dyDescent="0.25">
      <c r="A141" s="16" t="str">
        <f>P!A1256</f>
        <v>P3-MFC</v>
      </c>
      <c r="B141" s="122">
        <f>P!D1263</f>
        <v>2090000</v>
      </c>
      <c r="C141" s="16" t="s">
        <v>1861</v>
      </c>
    </row>
    <row r="142" spans="1:3" x14ac:dyDescent="0.25">
      <c r="A142" s="16" t="str">
        <f>P!A802</f>
        <v>P3-MGC</v>
      </c>
      <c r="B142" s="122">
        <f>P!D809</f>
        <v>2110000</v>
      </c>
      <c r="C142" s="16" t="s">
        <v>1862</v>
      </c>
    </row>
    <row r="143" spans="1:3" x14ac:dyDescent="0.25">
      <c r="A143" t="str">
        <f>P!A631</f>
        <v>P3-MGCS</v>
      </c>
      <c r="B143" s="126">
        <f>P!D638</f>
        <v>2395000</v>
      </c>
      <c r="C143" t="s">
        <v>1863</v>
      </c>
    </row>
    <row r="144" spans="1:3" x14ac:dyDescent="0.25">
      <c r="A144" t="str">
        <f>P!A101</f>
        <v>P3-MIC</v>
      </c>
      <c r="B144" s="126">
        <f>P!D108</f>
        <v>2155000</v>
      </c>
      <c r="C144" t="s">
        <v>1864</v>
      </c>
    </row>
    <row r="145" spans="1:3" x14ac:dyDescent="0.25">
      <c r="A145" t="str">
        <f>P!A473</f>
        <v>P3-MICS</v>
      </c>
      <c r="B145" s="126">
        <f>P!D480</f>
        <v>2775000</v>
      </c>
      <c r="C145" t="s">
        <v>1865</v>
      </c>
    </row>
    <row r="146" spans="1:3" x14ac:dyDescent="0.25">
      <c r="A146" t="str">
        <f>P!A740</f>
        <v>P3-MJC</v>
      </c>
      <c r="B146" s="126">
        <f>P!D747</f>
        <v>2380000</v>
      </c>
      <c r="C146" t="s">
        <v>1866</v>
      </c>
    </row>
    <row r="147" spans="1:3" x14ac:dyDescent="0.25">
      <c r="A147" t="str">
        <f>P!A510</f>
        <v>P3-MJCS</v>
      </c>
      <c r="B147" s="126">
        <f>P!D517</f>
        <v>2685000</v>
      </c>
      <c r="C147" t="s">
        <v>1867</v>
      </c>
    </row>
    <row r="148" spans="1:3" x14ac:dyDescent="0.25">
      <c r="A148" t="str">
        <f>P!A836</f>
        <v>P3-MKC</v>
      </c>
      <c r="B148" s="126">
        <f>P!D843</f>
        <v>2480000</v>
      </c>
      <c r="C148" t="s">
        <v>1868</v>
      </c>
    </row>
    <row r="149" spans="1:3" x14ac:dyDescent="0.25">
      <c r="A149" t="str">
        <f>P!A1230</f>
        <v>P3-MMC</v>
      </c>
      <c r="B149" s="126">
        <f>P!D1237</f>
        <v>2260000</v>
      </c>
      <c r="C149" t="s">
        <v>1869</v>
      </c>
    </row>
    <row r="150" spans="1:3" x14ac:dyDescent="0.25">
      <c r="A150" t="str">
        <f>P!A917</f>
        <v>P3-NEC</v>
      </c>
      <c r="B150" s="126">
        <f>P!D924</f>
        <v>2440000</v>
      </c>
      <c r="C150" t="s">
        <v>1870</v>
      </c>
    </row>
    <row r="151" spans="1:3" x14ac:dyDescent="0.25">
      <c r="A151" s="16" t="str">
        <f>P!A650</f>
        <v>P3-NFC</v>
      </c>
      <c r="B151" s="122">
        <f>P!D657</f>
        <v>2460000</v>
      </c>
      <c r="C151" s="16" t="s">
        <v>1871</v>
      </c>
    </row>
    <row r="152" spans="1:3" x14ac:dyDescent="0.25">
      <c r="A152" t="str">
        <f>P!A2081</f>
        <v>P3-NGCS</v>
      </c>
      <c r="B152" s="122">
        <f>P!D2088</f>
        <v>2806000</v>
      </c>
      <c r="C152" s="16" t="s">
        <v>1872</v>
      </c>
    </row>
    <row r="153" spans="1:3" x14ac:dyDescent="0.25">
      <c r="A153" t="str">
        <f>P!A269</f>
        <v>P3-NGC</v>
      </c>
      <c r="B153" s="126">
        <f>P!D276</f>
        <v>2480000</v>
      </c>
      <c r="C153" s="16" t="s">
        <v>1873</v>
      </c>
    </row>
    <row r="154" spans="1:3" x14ac:dyDescent="0.25">
      <c r="A154" t="str">
        <f>P!A519</f>
        <v>P3-NIC</v>
      </c>
      <c r="B154" s="126">
        <f>P!D527</f>
        <v>2615000</v>
      </c>
      <c r="C154" s="16" t="s">
        <v>1874</v>
      </c>
    </row>
    <row r="155" spans="1:3" x14ac:dyDescent="0.25">
      <c r="A155" t="str">
        <f>P!A463</f>
        <v>P3-NICS</v>
      </c>
      <c r="B155" s="126">
        <f>P!D471</f>
        <v>2970000</v>
      </c>
      <c r="C155" s="16" t="s">
        <v>1875</v>
      </c>
    </row>
    <row r="156" spans="1:3" x14ac:dyDescent="0.25">
      <c r="A156" t="str">
        <f>P!A407</f>
        <v>P3-NJC</v>
      </c>
      <c r="B156" s="126">
        <f>P!D415</f>
        <v>2920000</v>
      </c>
      <c r="C156" s="16" t="s">
        <v>1876</v>
      </c>
    </row>
    <row r="157" spans="1:3" x14ac:dyDescent="0.25">
      <c r="A157" t="str">
        <f>P!A417</f>
        <v>P3-NJCS</v>
      </c>
      <c r="B157" s="126">
        <f>P!D425</f>
        <v>3300000</v>
      </c>
      <c r="C157" s="16" t="s">
        <v>1877</v>
      </c>
    </row>
    <row r="158" spans="1:3" x14ac:dyDescent="0.25">
      <c r="A158" t="str">
        <f>P!A482</f>
        <v>P3-OFCS</v>
      </c>
      <c r="B158" s="126">
        <f>P!D489</f>
        <v>3310000</v>
      </c>
      <c r="C158" s="16" t="s">
        <v>1878</v>
      </c>
    </row>
    <row r="159" spans="1:3" x14ac:dyDescent="0.25">
      <c r="A159" t="str">
        <f>P!A1393</f>
        <v>P3-OGC</v>
      </c>
      <c r="B159" s="126">
        <f>P!D1401</f>
        <v>2995000</v>
      </c>
      <c r="C159" s="16" t="s">
        <v>1879</v>
      </c>
    </row>
    <row r="160" spans="1:3" x14ac:dyDescent="0.25">
      <c r="A160" t="str">
        <f>+P!A2119</f>
        <v>P3-OGCS</v>
      </c>
      <c r="B160" s="126">
        <f>+P!D2127</f>
        <v>3415000</v>
      </c>
      <c r="C160" s="16" t="s">
        <v>1880</v>
      </c>
    </row>
    <row r="161" spans="1:4" x14ac:dyDescent="0.25">
      <c r="A161" t="str">
        <f>P!A1506</f>
        <v>P3-OIC</v>
      </c>
      <c r="B161" s="126">
        <f>P!D1514</f>
        <v>3055000</v>
      </c>
      <c r="C161" s="16" t="s">
        <v>1881</v>
      </c>
    </row>
    <row r="162" spans="1:4" x14ac:dyDescent="0.25">
      <c r="A162" t="str">
        <f>P!A369</f>
        <v>P3-OICS</v>
      </c>
      <c r="B162" s="126">
        <f>P!D377</f>
        <v>3515000</v>
      </c>
      <c r="C162" s="16" t="s">
        <v>1882</v>
      </c>
    </row>
    <row r="163" spans="1:4" x14ac:dyDescent="0.25">
      <c r="A163" t="str">
        <f>P!A640</f>
        <v>P3-OJC</v>
      </c>
      <c r="B163" s="126">
        <f>P!D648</f>
        <v>3360000</v>
      </c>
      <c r="C163" s="16" t="s">
        <v>1883</v>
      </c>
    </row>
    <row r="164" spans="1:4" x14ac:dyDescent="0.25">
      <c r="A164" t="str">
        <f>P!A1487</f>
        <v>P3-OJCS</v>
      </c>
      <c r="B164" s="126">
        <f>P!D1495</f>
        <v>3800000</v>
      </c>
      <c r="C164" s="16" t="s">
        <v>1884</v>
      </c>
    </row>
    <row r="165" spans="1:4" x14ac:dyDescent="0.25">
      <c r="A165" t="str">
        <f>P!A1275</f>
        <v>P3-OKC</v>
      </c>
      <c r="B165" s="126">
        <f>P!D1283</f>
        <v>3425000</v>
      </c>
      <c r="C165" s="16" t="s">
        <v>1885</v>
      </c>
    </row>
    <row r="166" spans="1:4" x14ac:dyDescent="0.25">
      <c r="A166" t="str">
        <f>P!A379</f>
        <v>P3-OKCS</v>
      </c>
      <c r="B166" s="126">
        <f>P!D387</f>
        <v>3865000</v>
      </c>
      <c r="C166" s="16" t="s">
        <v>1886</v>
      </c>
      <c r="D166" s="16"/>
    </row>
    <row r="167" spans="1:4" x14ac:dyDescent="0.25">
      <c r="A167" t="str">
        <f>P!A1736</f>
        <v>P3-QGC</v>
      </c>
      <c r="B167" s="126">
        <f>P!D1744</f>
        <v>3135000</v>
      </c>
      <c r="C167" s="16" t="s">
        <v>1887</v>
      </c>
      <c r="D167" s="16"/>
    </row>
    <row r="168" spans="1:4" x14ac:dyDescent="0.25">
      <c r="A168" t="s">
        <v>1163</v>
      </c>
      <c r="B168" s="126">
        <f>+P!D1924</f>
        <v>3195000</v>
      </c>
      <c r="C168" s="16" t="s">
        <v>1888</v>
      </c>
      <c r="D168" s="16"/>
    </row>
    <row r="169" spans="1:4" x14ac:dyDescent="0.25">
      <c r="A169" t="str">
        <f>P!A1754</f>
        <v>P3-QJC</v>
      </c>
      <c r="B169" s="126">
        <f>P!D1762</f>
        <v>3500000</v>
      </c>
      <c r="C169" s="16" t="s">
        <v>1889</v>
      </c>
      <c r="D169" s="16"/>
    </row>
    <row r="170" spans="1:4" x14ac:dyDescent="0.25">
      <c r="A170" t="str">
        <f>P!A1726</f>
        <v>P3-UIC</v>
      </c>
      <c r="B170" s="126">
        <f>P!D1734</f>
        <v>4095000</v>
      </c>
      <c r="C170" s="16" t="s">
        <v>1890</v>
      </c>
      <c r="D170" s="16"/>
    </row>
    <row r="171" spans="1:4" x14ac:dyDescent="0.25">
      <c r="A171" t="str">
        <f>P!A1151</f>
        <v>P3-UKC</v>
      </c>
      <c r="B171" s="126">
        <f>P!D1159</f>
        <v>4465000</v>
      </c>
      <c r="C171" s="16" t="s">
        <v>1891</v>
      </c>
      <c r="D171" s="16"/>
    </row>
    <row r="172" spans="1:4" x14ac:dyDescent="0.25">
      <c r="A172" t="str">
        <f>+P!A1964</f>
        <v>P3-VJC</v>
      </c>
      <c r="B172" s="126">
        <f>+P!D1972</f>
        <v>4820000</v>
      </c>
      <c r="C172" s="16" t="s">
        <v>1892</v>
      </c>
      <c r="D172" s="16"/>
    </row>
    <row r="173" spans="1:4" x14ac:dyDescent="0.25">
      <c r="A173" t="str">
        <f>P!A1141</f>
        <v>P3-VKC</v>
      </c>
      <c r="B173" s="126">
        <f>P!D1149</f>
        <v>5185000</v>
      </c>
      <c r="C173" s="16" t="s">
        <v>1893</v>
      </c>
      <c r="D173" s="16"/>
    </row>
    <row r="174" spans="1:4" x14ac:dyDescent="0.25">
      <c r="A174" t="str">
        <f>P!A299</f>
        <v>P4-EBM</v>
      </c>
      <c r="B174" s="126">
        <f>P!D306</f>
        <v>526250</v>
      </c>
      <c r="C174" s="16" t="s">
        <v>1894</v>
      </c>
      <c r="D174" s="16"/>
    </row>
    <row r="175" spans="1:4" x14ac:dyDescent="0.25">
      <c r="A175" t="str">
        <f>+P!A2026</f>
        <v>P4-GCM</v>
      </c>
      <c r="B175" s="126">
        <f>+P!D2033</f>
        <v>743100</v>
      </c>
      <c r="C175" s="16" t="s">
        <v>1895</v>
      </c>
      <c r="D175" s="16"/>
    </row>
    <row r="176" spans="1:4" x14ac:dyDescent="0.25">
      <c r="A176" t="str">
        <f>P!A309</f>
        <v>P4-IEC</v>
      </c>
      <c r="B176" s="126">
        <f>P!D315</f>
        <v>690000</v>
      </c>
      <c r="C176" s="16" t="s">
        <v>1896</v>
      </c>
    </row>
    <row r="177" spans="1:3" x14ac:dyDescent="0.25">
      <c r="A177" t="str">
        <f>P!A1570</f>
        <v>P4-IECS</v>
      </c>
      <c r="B177" s="126">
        <f>P!D1576</f>
        <v>885000</v>
      </c>
      <c r="C177" s="16" t="s">
        <v>1897</v>
      </c>
    </row>
    <row r="178" spans="1:3" x14ac:dyDescent="0.25">
      <c r="A178" t="str">
        <f>P!A319</f>
        <v>P4-KEC</v>
      </c>
      <c r="B178" s="126">
        <f>P!D325</f>
        <v>820000</v>
      </c>
      <c r="C178" s="16" t="s">
        <v>1898</v>
      </c>
    </row>
    <row r="179" spans="1:3" x14ac:dyDescent="0.25">
      <c r="A179" t="str">
        <f>+P!A2035</f>
        <v>P4-LFC</v>
      </c>
      <c r="B179" s="126">
        <f>+P!D2042</f>
        <v>1356000</v>
      </c>
      <c r="C179" s="16" t="s">
        <v>1899</v>
      </c>
    </row>
    <row r="180" spans="1:3" x14ac:dyDescent="0.25">
      <c r="A180" t="str">
        <f>P!A359</f>
        <v>P4-LGC</v>
      </c>
      <c r="B180" s="126">
        <f>P!D366</f>
        <v>1486000</v>
      </c>
      <c r="C180" s="16" t="s">
        <v>1900</v>
      </c>
    </row>
    <row r="181" spans="1:3" x14ac:dyDescent="0.25">
      <c r="A181" t="str">
        <f>+P!A2072</f>
        <v>P4-LIC</v>
      </c>
      <c r="B181" s="126">
        <f>+P!D2079</f>
        <v>1516000</v>
      </c>
      <c r="C181" s="16" t="s">
        <v>1901</v>
      </c>
    </row>
    <row r="182" spans="1:3" x14ac:dyDescent="0.25">
      <c r="A182" t="str">
        <f>P!A1006</f>
        <v>P4-LJC</v>
      </c>
      <c r="B182" s="126">
        <f>P!D1014</f>
        <v>1896000</v>
      </c>
      <c r="C182" s="16" t="s">
        <v>1902</v>
      </c>
    </row>
    <row r="183" spans="1:3" x14ac:dyDescent="0.25">
      <c r="A183" t="str">
        <f>P!A1016</f>
        <v>P4-LJCS</v>
      </c>
      <c r="B183" s="126">
        <f>P!D1024</f>
        <v>2626000</v>
      </c>
      <c r="C183" s="16" t="s">
        <v>1903</v>
      </c>
    </row>
    <row r="184" spans="1:3" x14ac:dyDescent="0.25">
      <c r="A184" t="str">
        <f>P!A328</f>
        <v>P4-MIC</v>
      </c>
      <c r="B184" s="126">
        <f>P!D335</f>
        <v>2216000</v>
      </c>
      <c r="C184" s="16" t="s">
        <v>1904</v>
      </c>
    </row>
    <row r="185" spans="1:3" x14ac:dyDescent="0.25">
      <c r="A185" t="str">
        <f>P!A1285</f>
        <v>P4-NJC</v>
      </c>
      <c r="B185" s="126">
        <f>P!D1293</f>
        <v>3150000</v>
      </c>
      <c r="C185" s="16" t="s">
        <v>1905</v>
      </c>
    </row>
    <row r="186" spans="1:3" x14ac:dyDescent="0.25">
      <c r="A186" t="s">
        <v>1019</v>
      </c>
      <c r="B186" s="126">
        <f>P!D1303</f>
        <v>3650000</v>
      </c>
      <c r="C186" s="16" t="s">
        <v>1906</v>
      </c>
    </row>
    <row r="187" spans="1:3" x14ac:dyDescent="0.25">
      <c r="A187" t="str">
        <f>P!A1026</f>
        <v>P4-OLC</v>
      </c>
      <c r="B187" s="126">
        <f>P!D1034</f>
        <v>3990000</v>
      </c>
      <c r="C187" s="16" t="s">
        <v>1907</v>
      </c>
    </row>
    <row r="188" spans="1:3" x14ac:dyDescent="0.25">
      <c r="A188" t="str">
        <f>P!A1036</f>
        <v>P4-OLCS</v>
      </c>
      <c r="B188" s="126">
        <f>P!D1044</f>
        <v>4630000</v>
      </c>
      <c r="C188" s="16" t="s">
        <v>1908</v>
      </c>
    </row>
    <row r="189" spans="1:3" x14ac:dyDescent="0.25">
      <c r="A189" t="str">
        <f>P!A339</f>
        <v>P4-RIC</v>
      </c>
      <c r="B189" s="126">
        <f>P!D346</f>
        <v>2670000</v>
      </c>
      <c r="C189" s="16" t="s">
        <v>1909</v>
      </c>
    </row>
    <row r="190" spans="1:3" x14ac:dyDescent="0.25">
      <c r="A190" t="str">
        <f>P!A1594</f>
        <v>P4-SIC</v>
      </c>
      <c r="B190" s="126">
        <f>P!D1602</f>
        <v>3220000</v>
      </c>
      <c r="C190" s="16" t="s">
        <v>1910</v>
      </c>
    </row>
    <row r="191" spans="1:3" x14ac:dyDescent="0.25">
      <c r="A191" t="str">
        <f>P!A1066</f>
        <v>P4-SJC</v>
      </c>
      <c r="B191" s="126">
        <f>P!D1074</f>
        <v>3570000</v>
      </c>
      <c r="C191" s="16" t="s">
        <v>1911</v>
      </c>
    </row>
    <row r="192" spans="1:3" x14ac:dyDescent="0.25">
      <c r="A192" t="str">
        <f>P!A943</f>
        <v>P5-ECM</v>
      </c>
      <c r="B192" s="126">
        <f>P!D950</f>
        <v>617720</v>
      </c>
      <c r="C192" s="16" t="s">
        <v>1912</v>
      </c>
    </row>
    <row r="193" spans="1:3" x14ac:dyDescent="0.25">
      <c r="A193" t="str">
        <f>+P!A1907</f>
        <v>P5-GCM</v>
      </c>
      <c r="B193" s="126">
        <f>+P!D1914</f>
        <v>680400</v>
      </c>
      <c r="C193" s="16" t="s">
        <v>1913</v>
      </c>
    </row>
    <row r="194" spans="1:3" x14ac:dyDescent="0.25">
      <c r="A194" t="str">
        <f>+P!A1936</f>
        <v>P5-GEC</v>
      </c>
      <c r="B194" s="126">
        <f>+P!D1943</f>
        <v>705000</v>
      </c>
      <c r="C194" s="16" t="s">
        <v>1914</v>
      </c>
    </row>
    <row r="195" spans="1:3" x14ac:dyDescent="0.25">
      <c r="A195" t="str">
        <f>P!A935</f>
        <v>P5-IFC</v>
      </c>
      <c r="B195" s="126">
        <f>P!D941</f>
        <v>720000</v>
      </c>
      <c r="C195" s="16" t="s">
        <v>1915</v>
      </c>
    </row>
    <row r="196" spans="1:3" x14ac:dyDescent="0.25">
      <c r="A196" t="s">
        <v>1206</v>
      </c>
      <c r="B196" s="126">
        <f>P!D2117</f>
        <v>965000</v>
      </c>
      <c r="C196" s="16" t="s">
        <v>1916</v>
      </c>
    </row>
    <row r="197" spans="1:3" x14ac:dyDescent="0.25">
      <c r="A197" t="str">
        <f>P!A1814</f>
        <v>P5-KDC</v>
      </c>
      <c r="B197" s="126">
        <f>P!D1820</f>
        <v>845000</v>
      </c>
      <c r="C197" s="16" t="s">
        <v>1917</v>
      </c>
    </row>
    <row r="198" spans="1:3" x14ac:dyDescent="0.25">
      <c r="A198" t="str">
        <f>P!A1403</f>
        <v>P5-KGC</v>
      </c>
      <c r="B198" s="126">
        <f>P!D1410</f>
        <v>1005000</v>
      </c>
      <c r="C198" s="16" t="s">
        <v>1918</v>
      </c>
    </row>
    <row r="199" spans="1:3" x14ac:dyDescent="0.25">
      <c r="A199" t="str">
        <f>P!A1806</f>
        <v>P5-LDC</v>
      </c>
      <c r="B199" s="126">
        <f>P!D1812</f>
        <v>920000</v>
      </c>
      <c r="C199" s="16" t="s">
        <v>1919</v>
      </c>
    </row>
    <row r="200" spans="1:3" x14ac:dyDescent="0.25">
      <c r="A200" t="str">
        <f>+P!A2153</f>
        <v>P5-LIC</v>
      </c>
      <c r="B200" s="126">
        <f>+P!D2159</f>
        <v>1080000</v>
      </c>
      <c r="C200" s="16" t="s">
        <v>1920</v>
      </c>
    </row>
    <row r="201" spans="1:3" x14ac:dyDescent="0.25">
      <c r="A201" t="str">
        <f>+P!A2044</f>
        <v>P5-MFC</v>
      </c>
      <c r="B201" s="126">
        <f>+P!D2052</f>
        <v>1240000</v>
      </c>
      <c r="C201" s="16" t="s">
        <v>1921</v>
      </c>
    </row>
    <row r="202" spans="1:3" x14ac:dyDescent="0.25">
      <c r="A202" t="str">
        <f>+P!A1926</f>
        <v>P5-MGC</v>
      </c>
      <c r="B202" s="126">
        <f>+P!D1934</f>
        <v>1290000</v>
      </c>
      <c r="C202" s="16" t="s">
        <v>1922</v>
      </c>
    </row>
    <row r="203" spans="1:3" x14ac:dyDescent="0.25">
      <c r="A203" t="str">
        <f>P!A1655</f>
        <v>P5-NGC</v>
      </c>
      <c r="B203" s="126">
        <f>P!D1663</f>
        <v>1670000</v>
      </c>
      <c r="C203" s="16" t="s">
        <v>1923</v>
      </c>
    </row>
    <row r="204" spans="1:3" x14ac:dyDescent="0.25">
      <c r="A204" t="str">
        <f>+P!A1974</f>
        <v>P5-QEC</v>
      </c>
      <c r="B204" s="126">
        <f>+P!D1982</f>
        <v>2870000</v>
      </c>
      <c r="C204" s="16" t="s">
        <v>1924</v>
      </c>
    </row>
    <row r="205" spans="1:3" x14ac:dyDescent="0.25">
      <c r="A205" t="str">
        <f>P!A1560</f>
        <v>P5-QFC</v>
      </c>
      <c r="B205" s="126">
        <f>P!D1568</f>
        <v>2210000</v>
      </c>
      <c r="C205" s="16" t="s">
        <v>1925</v>
      </c>
    </row>
    <row r="206" spans="1:3" x14ac:dyDescent="0.25">
      <c r="A206" t="str">
        <f>P!A1265</f>
        <v>P5-QGC</v>
      </c>
      <c r="B206" s="126">
        <f>P!D1273</f>
        <v>2260000</v>
      </c>
      <c r="C206" s="16" t="s">
        <v>1926</v>
      </c>
    </row>
    <row r="207" spans="1:3" x14ac:dyDescent="0.25">
      <c r="A207" t="str">
        <f>+P!A1872</f>
        <v>P5-QJCS</v>
      </c>
      <c r="B207" s="126">
        <f>+P!D1880</f>
        <v>2640000</v>
      </c>
      <c r="C207" s="16" t="s">
        <v>1927</v>
      </c>
    </row>
    <row r="208" spans="1:3" x14ac:dyDescent="0.25">
      <c r="A208" t="str">
        <f>+P!A1832</f>
        <v>P5-QKCS</v>
      </c>
      <c r="B208" s="126">
        <f>+P!D1840</f>
        <v>2676000</v>
      </c>
      <c r="C208" s="16" t="s">
        <v>1928</v>
      </c>
    </row>
    <row r="209" spans="1:3" x14ac:dyDescent="0.25">
      <c r="A209" t="str">
        <f>+P!A1954</f>
        <v>P5-SEC</v>
      </c>
      <c r="B209" s="126">
        <f>+P!D1962</f>
        <v>1708333.3333333335</v>
      </c>
      <c r="C209" s="16" t="s">
        <v>1929</v>
      </c>
    </row>
    <row r="210" spans="1:3" x14ac:dyDescent="0.25">
      <c r="A210" t="str">
        <f>P!A1701</f>
        <v>P5-SECS</v>
      </c>
      <c r="B210" s="126">
        <f>P!D1708</f>
        <v>1850000</v>
      </c>
      <c r="C210" s="16" t="s">
        <v>1930</v>
      </c>
    </row>
    <row r="211" spans="1:3" x14ac:dyDescent="0.25">
      <c r="A211" t="str">
        <f>+P!A1984</f>
        <v>P5-SFC</v>
      </c>
      <c r="B211" s="126">
        <f>+P!D1992</f>
        <v>1818333.3333333335</v>
      </c>
      <c r="C211" s="16" t="s">
        <v>1931</v>
      </c>
    </row>
    <row r="212" spans="1:3" x14ac:dyDescent="0.25">
      <c r="A212" t="str">
        <f>P!A1161</f>
        <v>P5-SGC</v>
      </c>
      <c r="B212" s="126">
        <f>P!D1169</f>
        <v>1788333.3333333335</v>
      </c>
      <c r="C212" s="16" t="s">
        <v>1932</v>
      </c>
    </row>
    <row r="213" spans="1:3" x14ac:dyDescent="0.25">
      <c r="A213" t="str">
        <f>P!A1673</f>
        <v>P5-SGCS</v>
      </c>
      <c r="B213" s="126">
        <f>P!D1681</f>
        <v>1976000</v>
      </c>
      <c r="C213" s="16" t="s">
        <v>1933</v>
      </c>
    </row>
    <row r="214" spans="1:3" x14ac:dyDescent="0.25">
      <c r="A214" t="str">
        <f>P!A1375</f>
        <v>P5-SIC</v>
      </c>
      <c r="B214" s="126">
        <f>P!D1383</f>
        <v>1868333.3333333335</v>
      </c>
      <c r="C214" s="16" t="s">
        <v>1934</v>
      </c>
    </row>
    <row r="215" spans="1:3" x14ac:dyDescent="0.25">
      <c r="A215" t="str">
        <f>P!A1683</f>
        <v>P5-SICS</v>
      </c>
      <c r="B215" s="126">
        <f>P!D1691</f>
        <v>2066000</v>
      </c>
      <c r="C215" s="16" t="s">
        <v>1935</v>
      </c>
    </row>
    <row r="216" spans="1:3" x14ac:dyDescent="0.25">
      <c r="A216" t="str">
        <f>P!A389</f>
        <v>P5-SKCS</v>
      </c>
      <c r="B216" s="126">
        <f>P!D397</f>
        <v>2116000</v>
      </c>
      <c r="C216" s="16" t="s">
        <v>1936</v>
      </c>
    </row>
    <row r="217" spans="1:3" x14ac:dyDescent="0.25">
      <c r="A217" t="str">
        <f>P!A1203</f>
        <v>P5-TIC</v>
      </c>
      <c r="B217" s="126">
        <f>P!D1211</f>
        <v>3970000</v>
      </c>
      <c r="C217" s="16" t="s">
        <v>1937</v>
      </c>
    </row>
    <row r="218" spans="1:3" x14ac:dyDescent="0.25">
      <c r="A218" t="str">
        <f>P!A557</f>
        <v>P5-TKC</v>
      </c>
      <c r="B218" s="126">
        <f>P!D565</f>
        <v>4260000</v>
      </c>
      <c r="C218" s="16" t="s">
        <v>1938</v>
      </c>
    </row>
    <row r="219" spans="1:3" x14ac:dyDescent="0.25">
      <c r="A219" t="str">
        <f>P!A576</f>
        <v>P5-TKCS</v>
      </c>
      <c r="B219" s="126">
        <f>P!D584</f>
        <v>4326000</v>
      </c>
      <c r="C219" s="16" t="s">
        <v>1939</v>
      </c>
    </row>
    <row r="220" spans="1:3" x14ac:dyDescent="0.25">
      <c r="A220" t="str">
        <f>P!A712</f>
        <v>P5-UGC</v>
      </c>
      <c r="B220" s="126">
        <f>P!D720</f>
        <v>2920000</v>
      </c>
      <c r="C220" s="16" t="s">
        <v>1940</v>
      </c>
    </row>
    <row r="221" spans="1:3" x14ac:dyDescent="0.25">
      <c r="A221" t="str">
        <f>P!A702</f>
        <v>P5-UGCS</v>
      </c>
      <c r="B221" s="126">
        <f>P!D710</f>
        <v>3341000</v>
      </c>
      <c r="C221" s="16" t="s">
        <v>1941</v>
      </c>
    </row>
    <row r="222" spans="1:3" x14ac:dyDescent="0.25">
      <c r="A222" t="str">
        <f>P!A1076</f>
        <v>P5-UIC</v>
      </c>
      <c r="B222" s="126">
        <f>P!D1084</f>
        <v>2970000</v>
      </c>
      <c r="C222" s="16" t="s">
        <v>1942</v>
      </c>
    </row>
    <row r="223" spans="1:3" x14ac:dyDescent="0.25">
      <c r="A223" t="str">
        <f>P!A1046</f>
        <v>P5-UJC</v>
      </c>
      <c r="B223" s="126">
        <f>P!D1054</f>
        <v>3050000</v>
      </c>
      <c r="C223" s="16" t="s">
        <v>1943</v>
      </c>
    </row>
    <row r="224" spans="1:3" x14ac:dyDescent="0.25">
      <c r="A224" t="str">
        <f>+P!A1862</f>
        <v>P5-UJCS</v>
      </c>
      <c r="B224" s="126">
        <f>+P!D1870</f>
        <v>3445000</v>
      </c>
      <c r="C224" s="16" t="s">
        <v>1944</v>
      </c>
    </row>
    <row r="225" spans="1:3" x14ac:dyDescent="0.25">
      <c r="A225" t="str">
        <f>+P!A1822</f>
        <v>P5-UKCS</v>
      </c>
      <c r="B225" s="126">
        <f>+P!D1830</f>
        <v>3521000</v>
      </c>
      <c r="C225" s="16" t="s">
        <v>1945</v>
      </c>
    </row>
    <row r="226" spans="1:3" x14ac:dyDescent="0.25">
      <c r="A226" t="str">
        <f>P!A1524</f>
        <v>P5-VGC</v>
      </c>
      <c r="B226" s="126">
        <f>P!D1532</f>
        <v>3690000</v>
      </c>
      <c r="C226" s="16" t="s">
        <v>1946</v>
      </c>
    </row>
    <row r="227" spans="1:3" x14ac:dyDescent="0.25">
      <c r="A227" t="str">
        <f>P!A1095</f>
        <v>P5-VIC</v>
      </c>
      <c r="B227" s="126">
        <f>P!D1103</f>
        <v>3430000</v>
      </c>
      <c r="C227" s="16" t="s">
        <v>1947</v>
      </c>
    </row>
    <row r="228" spans="1:3" x14ac:dyDescent="0.25">
      <c r="A228" t="str">
        <f>P!A1468</f>
        <v>P5-VICS</v>
      </c>
      <c r="B228" s="126">
        <f>P!D1476</f>
        <v>3846000</v>
      </c>
      <c r="C228" s="16" t="s">
        <v>1948</v>
      </c>
    </row>
    <row r="229" spans="1:3" x14ac:dyDescent="0.25">
      <c r="A229" t="str">
        <f>P!A1056</f>
        <v>P5-VJC</v>
      </c>
      <c r="B229" s="126">
        <f>P!D1064</f>
        <v>3500000</v>
      </c>
      <c r="C229" s="16" t="s">
        <v>1949</v>
      </c>
    </row>
    <row r="230" spans="1:3" x14ac:dyDescent="0.25">
      <c r="A230" t="str">
        <f>+P!A1852</f>
        <v>P5-VJCS</v>
      </c>
      <c r="B230" s="126">
        <f>+P!D1860</f>
        <v>3980000</v>
      </c>
      <c r="C230" s="16" t="s">
        <v>1950</v>
      </c>
    </row>
    <row r="231" spans="1:3" x14ac:dyDescent="0.25">
      <c r="A231" t="str">
        <f>+P!A1842</f>
        <v>P5-VKCS</v>
      </c>
      <c r="B231" s="126">
        <f>+P!D1850</f>
        <v>4056000</v>
      </c>
      <c r="C231" s="16" t="s">
        <v>1951</v>
      </c>
    </row>
    <row r="232" spans="1:3" x14ac:dyDescent="0.25">
      <c r="A232" t="str">
        <f>P!A427</f>
        <v>P0-EBM</v>
      </c>
      <c r="B232" s="126">
        <f>P!D434</f>
        <v>576250</v>
      </c>
      <c r="C232" s="16" t="s">
        <v>1952</v>
      </c>
    </row>
    <row r="233" spans="1:3" x14ac:dyDescent="0.25">
      <c r="A233" t="str">
        <f>P!A1247</f>
        <v>P0-EBMS</v>
      </c>
      <c r="B233" s="126">
        <f>P!D1254</f>
        <v>614200</v>
      </c>
      <c r="C233" s="16" t="s">
        <v>1953</v>
      </c>
    </row>
    <row r="234" spans="1:3" x14ac:dyDescent="0.25">
      <c r="A234" t="str">
        <f>P!A349</f>
        <v>P0-ECM</v>
      </c>
      <c r="B234" s="126">
        <f>P!D356</f>
        <v>608100</v>
      </c>
      <c r="C234" s="16" t="s">
        <v>1954</v>
      </c>
    </row>
    <row r="235" spans="1:3" x14ac:dyDescent="0.25">
      <c r="A235" t="str">
        <f>P!A1086</f>
        <v>P0-ECMS</v>
      </c>
      <c r="B235" s="126">
        <f>P!D1093</f>
        <v>651000</v>
      </c>
      <c r="C235" s="16" t="s">
        <v>1955</v>
      </c>
    </row>
    <row r="236" spans="1:3" x14ac:dyDescent="0.25">
      <c r="A236" t="str">
        <f>P!A872</f>
        <v>P0-EDM</v>
      </c>
      <c r="B236" s="126">
        <f>P!D879</f>
        <v>608100</v>
      </c>
      <c r="C236" s="16" t="s">
        <v>1956</v>
      </c>
    </row>
    <row r="237" spans="1:3" ht="18.75" x14ac:dyDescent="0.3">
      <c r="A237" s="280" t="s">
        <v>1957</v>
      </c>
      <c r="B237" s="280"/>
      <c r="C237" s="280"/>
    </row>
    <row r="238" spans="1:3" ht="18.75" x14ac:dyDescent="0.3">
      <c r="A238" s="139" t="s">
        <v>1721</v>
      </c>
      <c r="B238" s="139" t="s">
        <v>1280</v>
      </c>
      <c r="C238" s="140" t="s">
        <v>1722</v>
      </c>
    </row>
    <row r="239" spans="1:3" x14ac:dyDescent="0.25">
      <c r="A239" t="str">
        <f>AD!A60</f>
        <v>AD-014-025</v>
      </c>
      <c r="B239" s="126">
        <f>AD!D64</f>
        <v>197400</v>
      </c>
      <c r="C239" s="16" t="s">
        <v>1958</v>
      </c>
    </row>
    <row r="240" spans="1:3" x14ac:dyDescent="0.25">
      <c r="A240" t="str">
        <f>AD!A66</f>
        <v>AD-014-025-S</v>
      </c>
      <c r="B240" s="126">
        <f>AD!D70</f>
        <v>208000</v>
      </c>
      <c r="C240" s="16" t="s">
        <v>1959</v>
      </c>
    </row>
    <row r="241" spans="1:3" x14ac:dyDescent="0.25">
      <c r="A241" t="str">
        <f>AD!A132</f>
        <v>AD-014-032</v>
      </c>
      <c r="B241" s="126">
        <f>+AD!D136</f>
        <v>210800</v>
      </c>
      <c r="C241" s="16" t="s">
        <v>1960</v>
      </c>
    </row>
    <row r="242" spans="1:3" x14ac:dyDescent="0.25">
      <c r="A242" t="str">
        <f>AD!A78</f>
        <v>AD-018-025</v>
      </c>
      <c r="B242" s="126">
        <f>AD!D82</f>
        <v>197400</v>
      </c>
      <c r="C242" s="16" t="s">
        <v>1961</v>
      </c>
    </row>
    <row r="243" spans="1:3" x14ac:dyDescent="0.25">
      <c r="A243" t="str">
        <f>AD!A126</f>
        <v>AD-018-025-S</v>
      </c>
      <c r="B243" s="126">
        <f>AD!D130</f>
        <v>208000</v>
      </c>
      <c r="C243" s="16" t="s">
        <v>1962</v>
      </c>
    </row>
    <row r="244" spans="1:3" x14ac:dyDescent="0.25">
      <c r="A244" t="str">
        <f>AD!A84</f>
        <v>AD-018-032</v>
      </c>
      <c r="B244" s="126">
        <f>AD!D88</f>
        <v>232800</v>
      </c>
      <c r="C244" s="16" t="s">
        <v>1963</v>
      </c>
    </row>
    <row r="245" spans="1:3" x14ac:dyDescent="0.25">
      <c r="A245" t="str">
        <f>AD!A120</f>
        <v>AD-018-032-S</v>
      </c>
      <c r="B245" s="126">
        <f>AD!D124</f>
        <v>250000</v>
      </c>
      <c r="C245" s="16" t="s">
        <v>1964</v>
      </c>
    </row>
    <row r="246" spans="1:3" x14ac:dyDescent="0.25">
      <c r="A246" t="str">
        <f>AD!A72</f>
        <v>AD-018-038</v>
      </c>
      <c r="B246" s="126">
        <f>AD!D76</f>
        <v>232800</v>
      </c>
      <c r="C246" s="16" t="s">
        <v>1965</v>
      </c>
    </row>
    <row r="247" spans="1:3" x14ac:dyDescent="0.25">
      <c r="A247" t="str">
        <f>AD!A1</f>
        <v>AD-020-025</v>
      </c>
      <c r="B247" s="126">
        <f>AD!D5</f>
        <v>197400</v>
      </c>
      <c r="C247" s="16" t="s">
        <v>1966</v>
      </c>
    </row>
    <row r="248" spans="1:3" x14ac:dyDescent="0.25">
      <c r="A248" t="str">
        <f>AD!A54</f>
        <v>AD-020-025-S</v>
      </c>
      <c r="B248" s="126">
        <f>AD!D58</f>
        <v>208000</v>
      </c>
      <c r="C248" s="16" t="s">
        <v>1967</v>
      </c>
    </row>
    <row r="249" spans="1:3" x14ac:dyDescent="0.25">
      <c r="A249" t="str">
        <f>AD!A8</f>
        <v>AD-020-032</v>
      </c>
      <c r="B249" s="126">
        <f>AD!D12</f>
        <v>232800</v>
      </c>
      <c r="C249" s="16" t="s">
        <v>1968</v>
      </c>
    </row>
    <row r="250" spans="1:3" x14ac:dyDescent="0.25">
      <c r="A250" t="str">
        <f>+AD!A162</f>
        <v>AD-020-032-S</v>
      </c>
      <c r="B250" s="126">
        <f>+AD!D166</f>
        <v>250000</v>
      </c>
      <c r="C250" s="16" t="s">
        <v>1969</v>
      </c>
    </row>
    <row r="251" spans="1:3" x14ac:dyDescent="0.25">
      <c r="A251" t="str">
        <f>AD!A48</f>
        <v>AD-020-038</v>
      </c>
      <c r="B251" s="126">
        <f>AD!D52</f>
        <v>225100</v>
      </c>
      <c r="C251" s="16" t="s">
        <v>1970</v>
      </c>
    </row>
    <row r="252" spans="1:3" x14ac:dyDescent="0.25">
      <c r="A252" t="str">
        <f>AD!A102</f>
        <v>AD-025-025</v>
      </c>
      <c r="B252" s="126">
        <f>AD!D106</f>
        <v>197400</v>
      </c>
      <c r="C252" s="16" t="s">
        <v>1971</v>
      </c>
    </row>
    <row r="253" spans="1:3" x14ac:dyDescent="0.25">
      <c r="A253" t="str">
        <f>AD!A14</f>
        <v>AD-025-032</v>
      </c>
      <c r="B253" s="126">
        <f>AD!D18</f>
        <v>232800</v>
      </c>
      <c r="C253" s="16" t="s">
        <v>1972</v>
      </c>
    </row>
    <row r="254" spans="1:3" x14ac:dyDescent="0.25">
      <c r="A254" t="str">
        <f>AD!A28</f>
        <v>AD-025-038</v>
      </c>
      <c r="B254" s="126">
        <f>AD!D32</f>
        <v>232800</v>
      </c>
      <c r="C254" s="16" t="s">
        <v>1973</v>
      </c>
    </row>
    <row r="255" spans="1:3" x14ac:dyDescent="0.25">
      <c r="A255" t="str">
        <f>AD!A156</f>
        <v>AD-025-038-S</v>
      </c>
      <c r="B255" s="126">
        <f>AD!D160</f>
        <v>250000</v>
      </c>
      <c r="C255" s="16" t="s">
        <v>1974</v>
      </c>
    </row>
    <row r="256" spans="1:3" x14ac:dyDescent="0.25">
      <c r="A256" t="str">
        <f>AD!A90</f>
        <v>AD-025-050</v>
      </c>
      <c r="B256" s="126">
        <f>AD!D94</f>
        <v>358200</v>
      </c>
      <c r="C256" s="16" t="s">
        <v>1975</v>
      </c>
    </row>
    <row r="257" spans="1:3" x14ac:dyDescent="0.25">
      <c r="A257" t="str">
        <f>AD!A144</f>
        <v>AD-030-032</v>
      </c>
      <c r="B257" s="126">
        <f>AD!D148</f>
        <v>358200</v>
      </c>
      <c r="C257" s="16" t="s">
        <v>1976</v>
      </c>
    </row>
    <row r="258" spans="1:3" x14ac:dyDescent="0.25">
      <c r="A258" t="str">
        <f>AD!A138</f>
        <v>AD-030-032-S</v>
      </c>
      <c r="B258" s="126">
        <f>AD!D142</f>
        <v>342200</v>
      </c>
      <c r="C258" s="16" t="s">
        <v>1977</v>
      </c>
    </row>
    <row r="259" spans="1:3" x14ac:dyDescent="0.25">
      <c r="A259" t="str">
        <f>AD!A96</f>
        <v>AD-030-038</v>
      </c>
      <c r="B259" s="126">
        <f>AD!D100</f>
        <v>232800</v>
      </c>
      <c r="C259" s="16" t="s">
        <v>1978</v>
      </c>
    </row>
    <row r="260" spans="1:3" x14ac:dyDescent="0.25">
      <c r="A260" t="str">
        <f>AD!A150</f>
        <v>AD-030-038-S</v>
      </c>
      <c r="B260" s="126">
        <f>AD!D154</f>
        <v>250000</v>
      </c>
      <c r="C260" s="16" t="s">
        <v>1979</v>
      </c>
    </row>
    <row r="261" spans="1:3" x14ac:dyDescent="0.25">
      <c r="A261" t="str">
        <f>AD!A42</f>
        <v>AD-030-050</v>
      </c>
      <c r="B261" s="126">
        <f>AD!D46</f>
        <v>358200</v>
      </c>
      <c r="C261" s="16" t="s">
        <v>1980</v>
      </c>
    </row>
    <row r="262" spans="1:3" x14ac:dyDescent="0.25">
      <c r="A262" t="str">
        <f>AD!A108</f>
        <v>AD-035-038</v>
      </c>
      <c r="B262" s="126">
        <f>AD!D112</f>
        <v>232800</v>
      </c>
      <c r="C262" s="16" t="s">
        <v>1981</v>
      </c>
    </row>
    <row r="263" spans="1:3" x14ac:dyDescent="0.25">
      <c r="A263" t="str">
        <f>AD!A21</f>
        <v>AD-035-050</v>
      </c>
      <c r="B263" s="126">
        <f>AD!D25</f>
        <v>358200</v>
      </c>
      <c r="C263" s="16" t="s">
        <v>1982</v>
      </c>
    </row>
    <row r="264" spans="1:3" ht="18.75" x14ac:dyDescent="0.3">
      <c r="A264" s="280" t="s">
        <v>1983</v>
      </c>
      <c r="B264" s="280"/>
      <c r="C264" s="280"/>
    </row>
    <row r="265" spans="1:3" ht="18.75" x14ac:dyDescent="0.3">
      <c r="A265" s="139" t="s">
        <v>1721</v>
      </c>
      <c r="B265" s="139" t="s">
        <v>1280</v>
      </c>
      <c r="C265" s="140" t="s">
        <v>1722</v>
      </c>
    </row>
    <row r="266" spans="1:3" x14ac:dyDescent="0.25">
      <c r="A266" t="str">
        <f>AB!A344</f>
        <v>AB-1.25-20</v>
      </c>
      <c r="B266" s="126">
        <f>AB!D349</f>
        <v>306940</v>
      </c>
      <c r="C266" s="16" t="s">
        <v>1984</v>
      </c>
    </row>
    <row r="267" spans="1:3" x14ac:dyDescent="0.25">
      <c r="A267" t="str">
        <f>AB!A351</f>
        <v>AB-1.5-20</v>
      </c>
      <c r="B267" s="126">
        <f>AB!D356</f>
        <v>311940</v>
      </c>
      <c r="C267" s="16" t="s">
        <v>1985</v>
      </c>
    </row>
    <row r="268" spans="1:3" x14ac:dyDescent="0.25">
      <c r="A268" t="str">
        <f>AB!A330</f>
        <v>AB-1.5-25</v>
      </c>
      <c r="B268" s="126">
        <f>AB!D335</f>
        <v>311940</v>
      </c>
      <c r="C268" s="16" t="s">
        <v>1986</v>
      </c>
    </row>
    <row r="269" spans="1:3" x14ac:dyDescent="0.25">
      <c r="A269" t="str">
        <f>AB!A323</f>
        <v>AB-1.5-25-S</v>
      </c>
      <c r="B269" s="126">
        <f>AB!D328</f>
        <v>336400</v>
      </c>
      <c r="C269" s="16" t="s">
        <v>1987</v>
      </c>
    </row>
    <row r="270" spans="1:3" x14ac:dyDescent="0.25">
      <c r="A270" t="str">
        <f>AB!A148</f>
        <v>AB-1.5-30</v>
      </c>
      <c r="B270" s="126">
        <f>AB!D153</f>
        <v>311940</v>
      </c>
      <c r="C270" s="16" t="s">
        <v>1988</v>
      </c>
    </row>
    <row r="271" spans="1:3" x14ac:dyDescent="0.25">
      <c r="A271" t="str">
        <f>AB!A358</f>
        <v>AB-1.5-35</v>
      </c>
      <c r="B271" s="126">
        <f>AB!D363</f>
        <v>311940</v>
      </c>
      <c r="C271" s="16" t="s">
        <v>1989</v>
      </c>
    </row>
    <row r="272" spans="1:3" x14ac:dyDescent="0.25">
      <c r="A272" t="str">
        <f>+AB!A386</f>
        <v>AB-2-20</v>
      </c>
      <c r="B272" s="126">
        <f>+AB!D391</f>
        <v>303375</v>
      </c>
      <c r="C272" s="16" t="s">
        <v>1990</v>
      </c>
    </row>
    <row r="273" spans="1:3" x14ac:dyDescent="0.25">
      <c r="A273" t="str">
        <f>AB!A134</f>
        <v>AB-2-25</v>
      </c>
      <c r="B273" s="126">
        <f>AB!D139</f>
        <v>348000</v>
      </c>
      <c r="C273" s="16" t="s">
        <v>1991</v>
      </c>
    </row>
    <row r="274" spans="1:3" x14ac:dyDescent="0.25">
      <c r="A274" t="str">
        <f>AB!A302</f>
        <v>AB-2-25-S</v>
      </c>
      <c r="B274" s="126">
        <f>AB!D307</f>
        <v>395760</v>
      </c>
      <c r="C274" s="16" t="s">
        <v>1992</v>
      </c>
    </row>
    <row r="275" spans="1:3" x14ac:dyDescent="0.25">
      <c r="A275" t="str">
        <f>AB!A92</f>
        <v>AB-2-30</v>
      </c>
      <c r="B275" s="126">
        <f>AB!D97</f>
        <v>340400</v>
      </c>
      <c r="C275" s="16" t="s">
        <v>1993</v>
      </c>
    </row>
    <row r="276" spans="1:3" x14ac:dyDescent="0.25">
      <c r="A276" t="str">
        <f>AB!A372</f>
        <v>AB-2-30-S</v>
      </c>
      <c r="B276" s="126">
        <f>AB!D377</f>
        <v>394000</v>
      </c>
      <c r="C276" s="16" t="s">
        <v>1994</v>
      </c>
    </row>
    <row r="277" spans="1:3" x14ac:dyDescent="0.25">
      <c r="A277" t="str">
        <f>AB!A127</f>
        <v>AB-2-35</v>
      </c>
      <c r="B277" s="126">
        <f>AB!D132</f>
        <v>357000</v>
      </c>
      <c r="C277" s="16" t="s">
        <v>1995</v>
      </c>
    </row>
    <row r="278" spans="1:3" x14ac:dyDescent="0.25">
      <c r="A278" t="str">
        <f>AB!A183</f>
        <v>AB-2-35-S</v>
      </c>
      <c r="B278" s="126">
        <f>AB!D188</f>
        <v>408640</v>
      </c>
      <c r="C278" s="16" t="s">
        <v>1996</v>
      </c>
    </row>
    <row r="279" spans="1:3" x14ac:dyDescent="0.25">
      <c r="A279" t="str">
        <f>AB!A120</f>
        <v>AB-2-40</v>
      </c>
      <c r="B279" s="126">
        <f>AB!D125</f>
        <v>357000</v>
      </c>
      <c r="C279" s="16" t="s">
        <v>1997</v>
      </c>
    </row>
    <row r="280" spans="1:3" x14ac:dyDescent="0.25">
      <c r="A280" t="str">
        <f>AB!A211</f>
        <v>AB-2.5-25</v>
      </c>
      <c r="B280" s="126">
        <f>AB!D216</f>
        <v>421490</v>
      </c>
      <c r="C280" s="16" t="s">
        <v>1998</v>
      </c>
    </row>
    <row r="281" spans="1:3" x14ac:dyDescent="0.25">
      <c r="A281" t="str">
        <f>+AB!A379</f>
        <v>AB-2.5-30</v>
      </c>
      <c r="B281" s="126">
        <f>+AB!D384</f>
        <v>458370</v>
      </c>
      <c r="C281" s="16" t="s">
        <v>1999</v>
      </c>
    </row>
    <row r="282" spans="1:3" x14ac:dyDescent="0.25">
      <c r="A282" t="str">
        <f>AB!A197</f>
        <v>AB-2.5-30-S</v>
      </c>
      <c r="B282" s="126">
        <f>AB!D202</f>
        <v>508370</v>
      </c>
      <c r="C282" s="16" t="s">
        <v>2000</v>
      </c>
    </row>
    <row r="283" spans="1:3" x14ac:dyDescent="0.25">
      <c r="A283" t="str">
        <f>AB!A43</f>
        <v>AB-2.5-35</v>
      </c>
      <c r="B283" s="126">
        <f>AB!D48</f>
        <v>458370</v>
      </c>
      <c r="C283" s="16" t="s">
        <v>2001</v>
      </c>
    </row>
    <row r="284" spans="1:3" x14ac:dyDescent="0.25">
      <c r="A284" t="str">
        <f>AB!A218</f>
        <v>AB-2.5-35-S</v>
      </c>
      <c r="B284" s="126">
        <f>AB!D223</f>
        <v>508370</v>
      </c>
      <c r="C284" s="16" t="s">
        <v>2002</v>
      </c>
    </row>
    <row r="285" spans="1:3" x14ac:dyDescent="0.25">
      <c r="A285" t="s">
        <v>508</v>
      </c>
      <c r="B285" s="126">
        <f>AB!D69</f>
        <v>430710</v>
      </c>
      <c r="C285" s="16" t="s">
        <v>2003</v>
      </c>
    </row>
    <row r="286" spans="1:3" x14ac:dyDescent="0.25">
      <c r="A286" t="str">
        <f>AB!A281</f>
        <v>AB-2.5-40-S</v>
      </c>
      <c r="B286" s="126">
        <f>AB!D286</f>
        <v>480710</v>
      </c>
      <c r="C286" s="16" t="s">
        <v>2004</v>
      </c>
    </row>
    <row r="287" spans="1:3" x14ac:dyDescent="0.25">
      <c r="A287" t="str">
        <f>AB!A337</f>
        <v>AB-2.5-50</v>
      </c>
      <c r="B287" s="126">
        <f>AB!D342</f>
        <v>449150</v>
      </c>
      <c r="C287" s="16" t="s">
        <v>2005</v>
      </c>
    </row>
    <row r="288" spans="1:3" x14ac:dyDescent="0.25">
      <c r="A288" t="str">
        <f>+AB!A393</f>
        <v>AB-2.5-50-S</v>
      </c>
      <c r="B288" s="126">
        <f>+AB!D398</f>
        <v>499150</v>
      </c>
      <c r="C288" s="16" t="s">
        <v>2006</v>
      </c>
    </row>
    <row r="289" spans="1:3" x14ac:dyDescent="0.25">
      <c r="A289" t="str">
        <f>AB!A309</f>
        <v>AB-3-25</v>
      </c>
      <c r="B289" s="126">
        <f>AB!D314</f>
        <v>571620</v>
      </c>
      <c r="C289" s="16" t="s">
        <v>2007</v>
      </c>
    </row>
    <row r="290" spans="1:3" x14ac:dyDescent="0.25">
      <c r="A290" t="str">
        <f>AB!A316</f>
        <v>AB-3-25-S</v>
      </c>
      <c r="B290" s="126">
        <f>AB!D321</f>
        <v>682370</v>
      </c>
      <c r="C290" s="16" t="s">
        <v>2008</v>
      </c>
    </row>
    <row r="291" spans="1:3" x14ac:dyDescent="0.25">
      <c r="A291" t="str">
        <f>AB!A36</f>
        <v>AB-3-35</v>
      </c>
      <c r="B291" s="126">
        <f>AB!D41</f>
        <v>551370</v>
      </c>
      <c r="C291" s="16" t="s">
        <v>2009</v>
      </c>
    </row>
    <row r="292" spans="1:3" x14ac:dyDescent="0.25">
      <c r="A292" t="str">
        <f>AB!A169</f>
        <v>AB-3-35-S</v>
      </c>
      <c r="B292" s="126">
        <f>AB!D174</f>
        <v>659320</v>
      </c>
      <c r="C292" s="16" t="s">
        <v>2010</v>
      </c>
    </row>
    <row r="293" spans="1:3" x14ac:dyDescent="0.25">
      <c r="A293" t="str">
        <f>AB!A22</f>
        <v>AB-3-40</v>
      </c>
      <c r="B293" s="126">
        <f>AB!D27</f>
        <v>546265</v>
      </c>
      <c r="C293" s="16" t="s">
        <v>2011</v>
      </c>
    </row>
    <row r="294" spans="1:3" x14ac:dyDescent="0.25">
      <c r="A294" t="str">
        <f>AB!A141</f>
        <v>AB-3-40-S</v>
      </c>
      <c r="B294" s="126">
        <f>AB!D146</f>
        <v>657015</v>
      </c>
      <c r="C294" s="16" t="s">
        <v>2012</v>
      </c>
    </row>
    <row r="295" spans="1:3" x14ac:dyDescent="0.25">
      <c r="A295" t="str">
        <f>AB!A15</f>
        <v>AB-3-50</v>
      </c>
      <c r="B295" s="126">
        <f>AB!D20</f>
        <v>555485</v>
      </c>
      <c r="C295" s="16" t="s">
        <v>2013</v>
      </c>
    </row>
    <row r="296" spans="1:3" x14ac:dyDescent="0.25">
      <c r="A296" t="str">
        <f>AB!A162</f>
        <v>AB-3-50-S</v>
      </c>
      <c r="B296" s="126">
        <f>AB!D167</f>
        <v>668540</v>
      </c>
      <c r="C296" s="16" t="s">
        <v>2014</v>
      </c>
    </row>
    <row r="297" spans="1:3" x14ac:dyDescent="0.25">
      <c r="A297" t="str">
        <f>AB!A225</f>
        <v>AB-3-60</v>
      </c>
      <c r="B297" s="126">
        <f>AB!D230</f>
        <v>576230</v>
      </c>
      <c r="C297" s="16" t="s">
        <v>2015</v>
      </c>
    </row>
    <row r="298" spans="1:3" x14ac:dyDescent="0.25">
      <c r="A298" t="str">
        <f>AB!A365</f>
        <v>AB-3-70</v>
      </c>
      <c r="B298" s="126">
        <f>AB!D370</f>
        <v>590060</v>
      </c>
      <c r="C298" s="16" t="s">
        <v>2016</v>
      </c>
    </row>
    <row r="299" spans="1:3" x14ac:dyDescent="0.25">
      <c r="A299" t="str">
        <f>AB!A253</f>
        <v>AB-4-30</v>
      </c>
      <c r="B299" s="126">
        <f>AB!D258</f>
        <v>647320</v>
      </c>
      <c r="C299" s="16" t="s">
        <v>2017</v>
      </c>
    </row>
    <row r="300" spans="1:3" x14ac:dyDescent="0.25">
      <c r="A300" t="str">
        <f>AB!A260</f>
        <v>AB-4-35</v>
      </c>
      <c r="B300" s="126">
        <f>AB!D265</f>
        <v>669840</v>
      </c>
      <c r="C300" s="16" t="s">
        <v>2018</v>
      </c>
    </row>
    <row r="301" spans="1:3" x14ac:dyDescent="0.25">
      <c r="A301" t="str">
        <f>AB!A274</f>
        <v>AB-4-40</v>
      </c>
      <c r="B301" s="126">
        <f>AB!D279</f>
        <v>636060</v>
      </c>
      <c r="C301" s="16" t="s">
        <v>2019</v>
      </c>
    </row>
    <row r="302" spans="1:3" x14ac:dyDescent="0.25">
      <c r="A302" t="str">
        <f>AB!A85</f>
        <v>AB-4-40-S</v>
      </c>
      <c r="B302" s="126">
        <f>AB!D90</f>
        <v>832000</v>
      </c>
      <c r="C302" s="16" t="s">
        <v>2020</v>
      </c>
    </row>
    <row r="303" spans="1:3" x14ac:dyDescent="0.25">
      <c r="A303" t="str">
        <f>AB!A8</f>
        <v>AB-4-50</v>
      </c>
      <c r="B303" s="126">
        <f>AB!D13</f>
        <v>647320</v>
      </c>
      <c r="C303" s="16" t="s">
        <v>2021</v>
      </c>
    </row>
    <row r="304" spans="1:3" x14ac:dyDescent="0.25">
      <c r="A304" t="str">
        <f>AB!A50</f>
        <v>AB-4-50-S</v>
      </c>
      <c r="B304" s="126">
        <f>AB!D55</f>
        <v>846400</v>
      </c>
      <c r="C304" s="16" t="s">
        <v>2022</v>
      </c>
    </row>
    <row r="305" spans="1:3" x14ac:dyDescent="0.25">
      <c r="A305" t="str">
        <f>AB!A1</f>
        <v>AB-4-60</v>
      </c>
      <c r="B305" s="126">
        <f>AB!D6</f>
        <v>658580</v>
      </c>
      <c r="C305" s="16" t="s">
        <v>2023</v>
      </c>
    </row>
    <row r="306" spans="1:3" x14ac:dyDescent="0.25">
      <c r="A306" t="str">
        <f>AB!A155</f>
        <v>AB-4-60-S</v>
      </c>
      <c r="B306" s="126">
        <f>AB!D160</f>
        <v>868000</v>
      </c>
      <c r="C306" s="16" t="s">
        <v>2024</v>
      </c>
    </row>
    <row r="307" spans="1:3" x14ac:dyDescent="0.25">
      <c r="A307" t="str">
        <f>AB!A267</f>
        <v>AB-4-70</v>
      </c>
      <c r="B307" s="126">
        <f>AB!D272</f>
        <v>669840</v>
      </c>
      <c r="C307" s="16" t="s">
        <v>2025</v>
      </c>
    </row>
    <row r="308" spans="1:3" x14ac:dyDescent="0.25">
      <c r="A308" t="str">
        <f>AB!A190</f>
        <v>AB-6-50</v>
      </c>
      <c r="B308" s="126">
        <f>AB!D195</f>
        <v>1795740</v>
      </c>
      <c r="C308" s="16" t="s">
        <v>2026</v>
      </c>
    </row>
    <row r="309" spans="1:3" x14ac:dyDescent="0.25">
      <c r="A309" t="str">
        <f>AB!A99</f>
        <v>AB-6-50-S</v>
      </c>
      <c r="B309" s="126">
        <f>AB!D104</f>
        <v>2062680</v>
      </c>
      <c r="C309" s="16" t="s">
        <v>2027</v>
      </c>
    </row>
    <row r="310" spans="1:3" x14ac:dyDescent="0.25">
      <c r="A310" t="str">
        <f>AB!A78</f>
        <v>AB-6-60</v>
      </c>
      <c r="B310" s="126">
        <f>AB!D83</f>
        <v>1795740</v>
      </c>
      <c r="C310" s="16" t="s">
        <v>2028</v>
      </c>
    </row>
    <row r="311" spans="1:3" x14ac:dyDescent="0.25">
      <c r="A311" t="str">
        <f>AB!A71</f>
        <v>AB-6-60-S</v>
      </c>
      <c r="B311" s="126">
        <f>AB!D76</f>
        <v>2062680</v>
      </c>
      <c r="C311" s="16" t="s">
        <v>2029</v>
      </c>
    </row>
    <row r="312" spans="1:3" x14ac:dyDescent="0.25">
      <c r="A312" t="str">
        <f>AB!A29</f>
        <v>AB-6-60-R</v>
      </c>
      <c r="B312" s="126">
        <f>AB!D34</f>
        <v>1582890</v>
      </c>
      <c r="C312" s="16" t="s">
        <v>2030</v>
      </c>
    </row>
    <row r="313" spans="1:3" x14ac:dyDescent="0.25">
      <c r="A313" t="str">
        <f>AB!A176</f>
        <v>AB-6-70</v>
      </c>
      <c r="B313" s="126">
        <f>AB!D181</f>
        <v>1833750</v>
      </c>
      <c r="C313" s="16" t="s">
        <v>2031</v>
      </c>
    </row>
    <row r="314" spans="1:3" x14ac:dyDescent="0.25">
      <c r="A314" t="str">
        <f>AB!A295</f>
        <v>AB-6-70-S</v>
      </c>
      <c r="B314" s="126">
        <f>AB!D300</f>
        <v>2159880</v>
      </c>
      <c r="C314" s="16" t="s">
        <v>2032</v>
      </c>
    </row>
    <row r="315" spans="1:3" x14ac:dyDescent="0.25">
      <c r="A315" t="str">
        <f>AB!A288</f>
        <v>AB-6-90</v>
      </c>
      <c r="B315" s="126">
        <f>AB!D293</f>
        <v>1897100</v>
      </c>
      <c r="C315" s="16" t="s">
        <v>2033</v>
      </c>
    </row>
    <row r="316" spans="1:3" x14ac:dyDescent="0.25">
      <c r="A316" t="str">
        <f>AB!A246</f>
        <v>AB-6-100</v>
      </c>
      <c r="B316" s="126">
        <f>AB!D251</f>
        <v>2023800</v>
      </c>
      <c r="C316" s="16" t="s">
        <v>2034</v>
      </c>
    </row>
    <row r="317" spans="1:3" x14ac:dyDescent="0.25">
      <c r="A317" t="str">
        <f>AB!A204</f>
        <v>AB-8-70</v>
      </c>
      <c r="B317" s="126">
        <f>AB!D209</f>
        <v>2518300</v>
      </c>
      <c r="C317" s="16" t="s">
        <v>2035</v>
      </c>
    </row>
    <row r="318" spans="1:3" x14ac:dyDescent="0.25">
      <c r="A318" t="str">
        <f>AB!A57</f>
        <v>AB-8-90-S</v>
      </c>
      <c r="B318" s="126">
        <f>AB!D62</f>
        <v>2978625</v>
      </c>
      <c r="C318" s="16" t="s">
        <v>2036</v>
      </c>
    </row>
    <row r="319" spans="1:3" x14ac:dyDescent="0.25">
      <c r="A319" t="str">
        <f>AB!A106</f>
        <v>AB-8-120</v>
      </c>
      <c r="B319" s="126">
        <f>AB!D111</f>
        <v>2877750</v>
      </c>
      <c r="C319" s="16" t="s">
        <v>2037</v>
      </c>
    </row>
    <row r="320" spans="1:3" x14ac:dyDescent="0.25">
      <c r="A320" t="str">
        <f>AB!A113</f>
        <v>AB-8-120-S</v>
      </c>
      <c r="B320" s="126">
        <f>AB!D118</f>
        <v>3338075</v>
      </c>
      <c r="C320" s="16" t="s">
        <v>2038</v>
      </c>
    </row>
    <row r="321" spans="1:3" x14ac:dyDescent="0.25">
      <c r="A321" t="str">
        <f>AB!A232</f>
        <v>AB-10-120</v>
      </c>
      <c r="B321" s="126">
        <f>AB!D237</f>
        <v>4208000</v>
      </c>
      <c r="C321" s="16" t="s">
        <v>2039</v>
      </c>
    </row>
    <row r="322" spans="1:3" x14ac:dyDescent="0.25">
      <c r="A322" t="str">
        <f>AB!A239</f>
        <v>AB-10-120-S</v>
      </c>
      <c r="B322" s="126">
        <f>AB!D244</f>
        <v>5696500</v>
      </c>
      <c r="C322" s="16" t="s">
        <v>2040</v>
      </c>
    </row>
    <row r="323" spans="1:3" ht="18.75" x14ac:dyDescent="0.3">
      <c r="A323" s="280" t="s">
        <v>2041</v>
      </c>
      <c r="B323" s="280"/>
      <c r="C323" s="280"/>
    </row>
    <row r="324" spans="1:3" ht="18.75" x14ac:dyDescent="0.3">
      <c r="A324" s="139" t="s">
        <v>1721</v>
      </c>
      <c r="B324" s="139" t="s">
        <v>1280</v>
      </c>
      <c r="C324" s="140" t="s">
        <v>1722</v>
      </c>
    </row>
    <row r="325" spans="1:3" x14ac:dyDescent="0.25">
      <c r="A325" t="str">
        <f>EJXA!A200</f>
        <v>EJDA100B</v>
      </c>
      <c r="B325" s="126">
        <f>EJXA!D204</f>
        <v>99000</v>
      </c>
      <c r="C325" s="16" t="s">
        <v>2042</v>
      </c>
    </row>
    <row r="326" spans="1:3" x14ac:dyDescent="0.25">
      <c r="A326" t="str">
        <f>EJXA!A288</f>
        <v>EJDA100BS</v>
      </c>
      <c r="B326" s="126">
        <f>EJXA!D292</f>
        <v>140000</v>
      </c>
      <c r="C326" s="16" t="s">
        <v>2043</v>
      </c>
    </row>
    <row r="327" spans="1:3" x14ac:dyDescent="0.25">
      <c r="A327" t="str">
        <f>EJXA!A194</f>
        <v>EJDA100C</v>
      </c>
      <c r="B327" s="126">
        <f>EJXA!D198</f>
        <v>124000</v>
      </c>
      <c r="C327" s="16" t="s">
        <v>2044</v>
      </c>
    </row>
    <row r="328" spans="1:3" x14ac:dyDescent="0.25">
      <c r="A328" t="str">
        <f>EJXA!A282</f>
        <v>EJDA100CS</v>
      </c>
      <c r="B328" s="126">
        <f>EJXA!D286</f>
        <v>180000</v>
      </c>
      <c r="C328" s="16" t="s">
        <v>2045</v>
      </c>
    </row>
    <row r="329" spans="1:3" x14ac:dyDescent="0.25">
      <c r="A329" t="str">
        <f>EJXA!A212</f>
        <v>EJDA100D</v>
      </c>
      <c r="B329" s="126">
        <f>EJXA!D216</f>
        <v>164000</v>
      </c>
      <c r="C329" s="16" t="s">
        <v>2046</v>
      </c>
    </row>
    <row r="330" spans="1:3" x14ac:dyDescent="0.25">
      <c r="A330" t="str">
        <f>EJXA!A332</f>
        <v>EJDA100DS</v>
      </c>
      <c r="B330" s="126">
        <f>EJXA!D336</f>
        <v>217000</v>
      </c>
      <c r="C330" s="16" t="s">
        <v>2047</v>
      </c>
    </row>
    <row r="331" spans="1:3" x14ac:dyDescent="0.25">
      <c r="A331" t="str">
        <f>EJXA!A276</f>
        <v>EJDA100E</v>
      </c>
      <c r="B331" s="126">
        <f>EJXA!D280</f>
        <v>231000</v>
      </c>
      <c r="C331" s="16" t="s">
        <v>2048</v>
      </c>
    </row>
    <row r="332" spans="1:3" x14ac:dyDescent="0.25">
      <c r="A332" t="str">
        <f>EJXA!A251</f>
        <v>EJDA150B</v>
      </c>
      <c r="B332" s="126">
        <f>EJXA!D255</f>
        <v>118500</v>
      </c>
      <c r="C332" s="16" t="s">
        <v>2049</v>
      </c>
    </row>
    <row r="333" spans="1:3" x14ac:dyDescent="0.25">
      <c r="A333" t="str">
        <f>EJXA!A270</f>
        <v>EJDA150C</v>
      </c>
      <c r="B333" s="126">
        <f>EJXA!D274</f>
        <v>156000</v>
      </c>
      <c r="C333" s="16" t="s">
        <v>2050</v>
      </c>
    </row>
    <row r="334" spans="1:3" x14ac:dyDescent="0.25">
      <c r="A334" t="str">
        <f>EJXA!A314</f>
        <v>EJDA150CS</v>
      </c>
      <c r="B334" s="126">
        <f>EJXA!D318</f>
        <v>240000</v>
      </c>
      <c r="C334" s="16" t="s">
        <v>2051</v>
      </c>
    </row>
    <row r="335" spans="1:3" x14ac:dyDescent="0.25">
      <c r="A335" t="str">
        <f>EJXA!A238</f>
        <v>EJDA150D</v>
      </c>
      <c r="B335" s="126">
        <f>EJXA!D242</f>
        <v>207500</v>
      </c>
      <c r="C335" s="16" t="s">
        <v>2052</v>
      </c>
    </row>
    <row r="336" spans="1:3" x14ac:dyDescent="0.25">
      <c r="A336" t="str">
        <f>EJXA!A320</f>
        <v>EJDA150DS</v>
      </c>
      <c r="B336" s="126">
        <f>EJXA!D324</f>
        <v>287000</v>
      </c>
      <c r="C336" s="16" t="s">
        <v>2053</v>
      </c>
    </row>
    <row r="337" spans="1:3" x14ac:dyDescent="0.25">
      <c r="A337" t="str">
        <f>EJXA!A150</f>
        <v>EJDA150E</v>
      </c>
      <c r="B337" s="126">
        <f>EJXA!D154</f>
        <v>308000</v>
      </c>
      <c r="C337" s="16" t="s">
        <v>2054</v>
      </c>
    </row>
    <row r="338" spans="1:3" x14ac:dyDescent="0.25">
      <c r="A338" t="str">
        <f>EJXA!A294</f>
        <v>EJDA200B</v>
      </c>
      <c r="B338" s="126">
        <f>EJXA!D298</f>
        <v>138000</v>
      </c>
      <c r="C338" s="16" t="s">
        <v>2055</v>
      </c>
    </row>
    <row r="339" spans="1:3" x14ac:dyDescent="0.25">
      <c r="A339" t="s">
        <v>320</v>
      </c>
      <c r="B339" s="126">
        <f>EJXA!D268</f>
        <v>188000</v>
      </c>
      <c r="C339" s="16" t="s">
        <v>2056</v>
      </c>
    </row>
    <row r="340" spans="1:3" x14ac:dyDescent="0.25">
      <c r="A340" t="s">
        <v>340</v>
      </c>
      <c r="B340" s="126">
        <f>EJXA!D330</f>
        <v>320000</v>
      </c>
      <c r="C340" s="16" t="s">
        <v>2057</v>
      </c>
    </row>
    <row r="341" spans="1:3" x14ac:dyDescent="0.25">
      <c r="A341" t="str">
        <f>EJXA!A49</f>
        <v>EJDA200D</v>
      </c>
      <c r="B341" s="126">
        <f>EJXA!D53</f>
        <v>251000</v>
      </c>
      <c r="C341" s="16" t="s">
        <v>2058</v>
      </c>
    </row>
    <row r="342" spans="1:3" x14ac:dyDescent="0.25">
      <c r="A342" t="str">
        <f>EJXA!A1</f>
        <v>EJDA065B</v>
      </c>
      <c r="B342" s="126">
        <f>EJXA!D5</f>
        <v>85350</v>
      </c>
      <c r="C342" s="16" t="s">
        <v>2059</v>
      </c>
    </row>
    <row r="343" spans="1:3" x14ac:dyDescent="0.25">
      <c r="A343" t="str">
        <f>EJXA!A188</f>
        <v>EJDA060BS</v>
      </c>
      <c r="B343" s="126">
        <f>EJXA!D192</f>
        <v>112000</v>
      </c>
      <c r="C343" s="16" t="s">
        <v>2060</v>
      </c>
    </row>
    <row r="344" spans="1:3" x14ac:dyDescent="0.25">
      <c r="A344" t="str">
        <f>EJXA!A8</f>
        <v>EJDA090B</v>
      </c>
      <c r="B344" s="126">
        <f>EJXA!D12</f>
        <v>95100</v>
      </c>
      <c r="C344" s="16" t="s">
        <v>2061</v>
      </c>
    </row>
    <row r="345" spans="1:3" x14ac:dyDescent="0.25">
      <c r="A345" t="str">
        <f>EJXA!A15</f>
        <v>EJDA109C</v>
      </c>
      <c r="B345" s="126">
        <f>EJXA!D19</f>
        <v>129760</v>
      </c>
      <c r="C345" s="16" t="s">
        <v>2062</v>
      </c>
    </row>
    <row r="346" spans="1:3" x14ac:dyDescent="0.25">
      <c r="A346" t="str">
        <f>EJXA!A22</f>
        <v>EJDA145C</v>
      </c>
      <c r="B346" s="126">
        <f>EJXA!D26</f>
        <v>152800</v>
      </c>
      <c r="C346" s="16" t="s">
        <v>2063</v>
      </c>
    </row>
    <row r="347" spans="1:3" x14ac:dyDescent="0.25">
      <c r="A347" t="str">
        <f>EJXA!A29</f>
        <v>EJDA160E</v>
      </c>
      <c r="B347" s="126">
        <f>EJXA!D33</f>
        <v>323400</v>
      </c>
      <c r="C347" s="16" t="s">
        <v>2064</v>
      </c>
    </row>
    <row r="348" spans="1:3" x14ac:dyDescent="0.25">
      <c r="A348" t="str">
        <f>EJXA!A35</f>
        <v>EJDA106DS</v>
      </c>
      <c r="B348" s="126">
        <f>EJXA!D39</f>
        <v>225400</v>
      </c>
      <c r="C348" s="16" t="s">
        <v>2065</v>
      </c>
    </row>
    <row r="349" spans="1:3" x14ac:dyDescent="0.25">
      <c r="A349" t="str">
        <f>EJXA!A42</f>
        <v>EJDA180E</v>
      </c>
      <c r="B349" s="126">
        <f>EJXA!D46</f>
        <v>354200</v>
      </c>
      <c r="C349" s="16" t="s">
        <v>2066</v>
      </c>
    </row>
    <row r="350" spans="1:3" x14ac:dyDescent="0.25">
      <c r="A350" t="str">
        <f>EJXA!A257</f>
        <v>EJBA150ES</v>
      </c>
      <c r="B350" s="126">
        <f>EJXA!D262</f>
        <v>960000</v>
      </c>
      <c r="C350" s="16" t="s">
        <v>2067</v>
      </c>
    </row>
    <row r="351" spans="1:3" x14ac:dyDescent="0.25">
      <c r="A351" t="str">
        <f>EJXA!A56</f>
        <v>EJDA210E</v>
      </c>
      <c r="B351" s="126">
        <f>EJXA!D60</f>
        <v>400400</v>
      </c>
      <c r="C351" s="16" t="s">
        <v>2068</v>
      </c>
    </row>
    <row r="352" spans="1:3" x14ac:dyDescent="0.25">
      <c r="A352" t="str">
        <f>EJXA!A63</f>
        <v>EJDA059B</v>
      </c>
      <c r="B352" s="126">
        <f>EJXA!D67</f>
        <v>83010</v>
      </c>
      <c r="C352" s="16" t="s">
        <v>2069</v>
      </c>
    </row>
    <row r="353" spans="1:3" x14ac:dyDescent="0.25">
      <c r="A353" t="str">
        <f>EJXA!A70</f>
        <v>EJDA086B</v>
      </c>
      <c r="B353" s="126">
        <f>EJXA!D74</f>
        <v>93540</v>
      </c>
      <c r="C353" s="16" t="s">
        <v>2070</v>
      </c>
    </row>
    <row r="354" spans="1:3" x14ac:dyDescent="0.25">
      <c r="A354" t="str">
        <f>EJXA!A76</f>
        <v>EJDA135DS</v>
      </c>
      <c r="B354" s="126">
        <f>EJXA!D80</f>
        <v>266000</v>
      </c>
      <c r="C354" s="16" t="s">
        <v>2071</v>
      </c>
    </row>
    <row r="355" spans="1:3" x14ac:dyDescent="0.25">
      <c r="A355" t="str">
        <f>EJXA!A82</f>
        <v>EJDA180D</v>
      </c>
      <c r="B355" s="126">
        <f>EJXA!D86</f>
        <v>233600</v>
      </c>
      <c r="C355" s="16" t="s">
        <v>2072</v>
      </c>
    </row>
    <row r="356" spans="1:3" x14ac:dyDescent="0.25">
      <c r="A356" t="str">
        <f>EJXA!A176</f>
        <v>EJDA120BS</v>
      </c>
      <c r="B356" s="126">
        <f>EJXA!D180</f>
        <v>156000</v>
      </c>
      <c r="C356" s="16" t="s">
        <v>2073</v>
      </c>
    </row>
    <row r="357" spans="1:3" x14ac:dyDescent="0.25">
      <c r="A357" t="str">
        <f>EJXA!A89</f>
        <v>EJDA108B</v>
      </c>
      <c r="B357" s="126">
        <f>EJXA!D93</f>
        <v>102120</v>
      </c>
      <c r="C357" s="16" t="s">
        <v>2074</v>
      </c>
    </row>
    <row r="358" spans="1:3" x14ac:dyDescent="0.25">
      <c r="A358" t="str">
        <f>EJXA!A96</f>
        <v>EJDA135C</v>
      </c>
      <c r="B358" s="126">
        <f>EJXA!D100</f>
        <v>146400</v>
      </c>
      <c r="C358" s="16" t="s">
        <v>2075</v>
      </c>
    </row>
    <row r="359" spans="1:3" x14ac:dyDescent="0.25">
      <c r="A359" t="str">
        <f>EJXA!A103</f>
        <v>EJDA162E</v>
      </c>
      <c r="B359" s="126">
        <f>EJXA!D107</f>
        <v>326480</v>
      </c>
      <c r="C359" s="16" t="s">
        <v>2076</v>
      </c>
    </row>
    <row r="360" spans="1:3" x14ac:dyDescent="0.25">
      <c r="A360" t="str">
        <f>EJXA!A110</f>
        <v>EJDA184E</v>
      </c>
      <c r="B360" s="126">
        <f>EJXA!D114</f>
        <v>360360</v>
      </c>
      <c r="C360" s="16" t="s">
        <v>2077</v>
      </c>
    </row>
    <row r="361" spans="1:3" x14ac:dyDescent="0.25">
      <c r="A361" t="str">
        <f>EJXA!A117</f>
        <v>EJDA206D</v>
      </c>
      <c r="B361" s="126">
        <f>EJXA!D121</f>
        <v>256220</v>
      </c>
      <c r="C361" s="16" t="s">
        <v>2078</v>
      </c>
    </row>
    <row r="362" spans="1:3" x14ac:dyDescent="0.25">
      <c r="A362" t="str">
        <f>EJXA!A123</f>
        <v>EJDA135D</v>
      </c>
      <c r="B362" s="126">
        <f>EJXA!D127</f>
        <v>194450</v>
      </c>
      <c r="C362" s="16" t="s">
        <v>2079</v>
      </c>
    </row>
    <row r="363" spans="1:3" x14ac:dyDescent="0.25">
      <c r="A363" t="str">
        <f>EJXA!A206</f>
        <v>EJDA220D</v>
      </c>
      <c r="B363" s="126">
        <f>EJXA!D210</f>
        <v>268400</v>
      </c>
      <c r="C363" s="16" t="s">
        <v>2080</v>
      </c>
    </row>
    <row r="364" spans="1:3" x14ac:dyDescent="0.25">
      <c r="A364" t="str">
        <f>EJXA!A129</f>
        <v>EJDA230D</v>
      </c>
      <c r="B364" s="126">
        <f>EJXA!D133</f>
        <v>277100</v>
      </c>
      <c r="C364" s="16" t="s">
        <v>2081</v>
      </c>
    </row>
    <row r="365" spans="1:3" x14ac:dyDescent="0.25">
      <c r="A365" t="str">
        <f>EJXA!A232</f>
        <v>EJDA070E</v>
      </c>
      <c r="B365" s="126">
        <f>EJXA!D236</f>
        <v>184800</v>
      </c>
      <c r="C365" s="16" t="s">
        <v>2082</v>
      </c>
    </row>
    <row r="366" spans="1:3" x14ac:dyDescent="0.25">
      <c r="A366" t="str">
        <f>EJXA!A136</f>
        <v>EJDA260E</v>
      </c>
      <c r="B366" s="126">
        <f>EJXA!D140</f>
        <v>477400</v>
      </c>
      <c r="C366" s="16" t="s">
        <v>2083</v>
      </c>
    </row>
    <row r="367" spans="1:3" x14ac:dyDescent="0.25">
      <c r="A367" t="str">
        <f>EJXA!A143</f>
        <v>EJDA264E</v>
      </c>
      <c r="B367" s="126">
        <f>EJXA!D147</f>
        <v>483560</v>
      </c>
      <c r="C367" s="16" t="s">
        <v>2084</v>
      </c>
    </row>
    <row r="368" spans="1:3" x14ac:dyDescent="0.25">
      <c r="A368" t="str">
        <f>EJXA!A182</f>
        <v>EJDA125E</v>
      </c>
      <c r="B368" s="126">
        <f>EJXA!D186</f>
        <v>269500</v>
      </c>
      <c r="C368" s="16" t="s">
        <v>2085</v>
      </c>
    </row>
    <row r="369" spans="1:3" x14ac:dyDescent="0.25">
      <c r="A369" t="str">
        <f>EJXA!A157</f>
        <v>EJDA216E</v>
      </c>
      <c r="B369" s="126">
        <f>EJXA!D161</f>
        <v>409640</v>
      </c>
      <c r="C369" s="16" t="s">
        <v>2086</v>
      </c>
    </row>
    <row r="370" spans="1:3" x14ac:dyDescent="0.25">
      <c r="A370" t="str">
        <f>EJXA!A164</f>
        <v>EJDA066C</v>
      </c>
      <c r="B370" s="126">
        <f>EJXA!D168</f>
        <v>102240</v>
      </c>
      <c r="C370" s="16" t="s">
        <v>2087</v>
      </c>
    </row>
    <row r="371" spans="1:3" x14ac:dyDescent="0.25">
      <c r="A371" t="str">
        <f>EJXA!A170</f>
        <v>EJDA125B</v>
      </c>
      <c r="B371" s="126">
        <f>EJXA!D174</f>
        <v>108750</v>
      </c>
      <c r="C371" s="16" t="s">
        <v>2088</v>
      </c>
    </row>
    <row r="372" spans="1:3" x14ac:dyDescent="0.25">
      <c r="A372" t="str">
        <f>EJXA!A307</f>
        <v>EJBA100E</v>
      </c>
      <c r="B372" s="126">
        <f>EJXA!D312</f>
        <v>714000</v>
      </c>
      <c r="C372" s="16" t="s">
        <v>2089</v>
      </c>
    </row>
    <row r="373" spans="1:3" x14ac:dyDescent="0.25">
      <c r="A373" t="str">
        <f>EJXA!A225</f>
        <v>EJBA130E</v>
      </c>
      <c r="B373" s="126">
        <f>EJXA!D230</f>
        <v>760200</v>
      </c>
      <c r="C373" s="16" t="s">
        <v>2090</v>
      </c>
    </row>
    <row r="374" spans="1:3" x14ac:dyDescent="0.25">
      <c r="A374" t="str">
        <f>EJXA!A300</f>
        <v>EJBA200C</v>
      </c>
      <c r="B374" s="126">
        <f>EJXA!D305</f>
        <v>588000</v>
      </c>
      <c r="C374" s="16" t="s">
        <v>2091</v>
      </c>
    </row>
    <row r="375" spans="1:3" x14ac:dyDescent="0.25">
      <c r="A375" t="str">
        <f>EJXA!A244</f>
        <v>EJBA120D</v>
      </c>
      <c r="B375" s="126">
        <f>EJXA!D249</f>
        <v>569400</v>
      </c>
      <c r="C375" s="16" t="s">
        <v>2092</v>
      </c>
    </row>
    <row r="376" spans="1:3" x14ac:dyDescent="0.25">
      <c r="A376" t="str">
        <f>EJXA!A218</f>
        <v>EJBA120E</v>
      </c>
      <c r="B376" s="126">
        <f>EJXA!D223</f>
        <v>739800</v>
      </c>
      <c r="C376" s="16" t="s">
        <v>2093</v>
      </c>
    </row>
    <row r="377" spans="1:3" ht="18.75" x14ac:dyDescent="0.3">
      <c r="A377" s="280" t="s">
        <v>2094</v>
      </c>
      <c r="B377" s="280"/>
      <c r="C377" s="280"/>
    </row>
    <row r="378" spans="1:3" ht="18.75" x14ac:dyDescent="0.3">
      <c r="A378" s="139" t="s">
        <v>1721</v>
      </c>
      <c r="B378" s="139" t="s">
        <v>1280</v>
      </c>
      <c r="C378" s="140" t="s">
        <v>1722</v>
      </c>
    </row>
    <row r="379" spans="1:3" x14ac:dyDescent="0.25">
      <c r="A379" t="str">
        <f>EJXC!A352</f>
        <v>EJBC200D</v>
      </c>
      <c r="B379" s="126">
        <f>EJXC!D357</f>
        <v>590000</v>
      </c>
      <c r="C379" s="16" t="s">
        <v>2095</v>
      </c>
    </row>
    <row r="380" spans="1:3" x14ac:dyDescent="0.25">
      <c r="A380" t="str">
        <f>EJXC!A331</f>
        <v>EJBC200DS</v>
      </c>
      <c r="B380" s="126">
        <f>EJXC!D336</f>
        <v>600000</v>
      </c>
      <c r="C380" s="16" t="s">
        <v>2096</v>
      </c>
    </row>
    <row r="381" spans="1:3" x14ac:dyDescent="0.25">
      <c r="A381" t="str">
        <f>EJXC!A212</f>
        <v>EJBC200E</v>
      </c>
      <c r="B381" s="126">
        <f>EJXC!D217</f>
        <v>850000</v>
      </c>
      <c r="C381" s="16" t="s">
        <v>2097</v>
      </c>
    </row>
    <row r="382" spans="1:3" x14ac:dyDescent="0.25">
      <c r="A382" t="str">
        <f>EJXC!A317</f>
        <v>EJBC200ES</v>
      </c>
      <c r="B382" s="126">
        <f>EJXC!D322</f>
        <v>1195000</v>
      </c>
      <c r="C382" s="16" t="s">
        <v>2098</v>
      </c>
    </row>
    <row r="383" spans="1:3" x14ac:dyDescent="0.25">
      <c r="A383" t="str">
        <f>EJXC!A37</f>
        <v>EJBC200F</v>
      </c>
      <c r="B383" s="126">
        <f>EJXC!D42</f>
        <v>1001000</v>
      </c>
      <c r="C383" s="16" t="s">
        <v>2099</v>
      </c>
    </row>
    <row r="384" spans="1:3" x14ac:dyDescent="0.25">
      <c r="A384" t="str">
        <f>EJXC!A310</f>
        <v>EJBC200FS</v>
      </c>
      <c r="B384" s="126">
        <f>EJXC!D315</f>
        <v>1368000</v>
      </c>
      <c r="C384" s="16" t="s">
        <v>2100</v>
      </c>
    </row>
    <row r="385" spans="1:3" x14ac:dyDescent="0.25">
      <c r="A385" t="str">
        <f>EJXC!A29</f>
        <v>EJBC200G</v>
      </c>
      <c r="B385" s="126">
        <f>EJXC!D34</f>
        <v>1524032</v>
      </c>
      <c r="C385" s="16" t="s">
        <v>2101</v>
      </c>
    </row>
    <row r="386" spans="1:3" x14ac:dyDescent="0.25">
      <c r="A386" t="str">
        <f>EJXC!A366</f>
        <v>EJBC200GS</v>
      </c>
      <c r="B386" s="126">
        <f>EJXC!D371</f>
        <v>1919000</v>
      </c>
      <c r="C386" s="16" t="s">
        <v>2102</v>
      </c>
    </row>
    <row r="387" spans="1:3" x14ac:dyDescent="0.25">
      <c r="A387" t="str">
        <f>EJXC!A289</f>
        <v>EJBC200I</v>
      </c>
      <c r="B387" s="126">
        <f>EJXC!D294</f>
        <v>2354850</v>
      </c>
      <c r="C387" s="16" t="s">
        <v>2103</v>
      </c>
    </row>
    <row r="388" spans="1:3" x14ac:dyDescent="0.25">
      <c r="A388" t="str">
        <f>+EJXC!A387</f>
        <v>EJBC200IS</v>
      </c>
      <c r="B388" s="126">
        <f>+EJXC!D392</f>
        <v>2827700</v>
      </c>
      <c r="C388" s="16" t="s">
        <v>2104</v>
      </c>
    </row>
    <row r="389" spans="1:3" x14ac:dyDescent="0.25">
      <c r="A389" t="str">
        <f>EJXC!A345</f>
        <v>EJBC200J</v>
      </c>
      <c r="B389" s="126">
        <f>EJXC!D350</f>
        <v>4001400</v>
      </c>
      <c r="C389" s="16" t="s">
        <v>2105</v>
      </c>
    </row>
    <row r="390" spans="1:3" x14ac:dyDescent="0.25">
      <c r="A390" t="str">
        <f>EJXC!A338</f>
        <v>EJBC350D</v>
      </c>
      <c r="B390" s="126">
        <f>EJXC!D343</f>
        <v>652500</v>
      </c>
      <c r="C390" s="16" t="s">
        <v>2106</v>
      </c>
    </row>
    <row r="391" spans="1:3" x14ac:dyDescent="0.25">
      <c r="A391" t="str">
        <f>EJXC!A261</f>
        <v>EJBC350E</v>
      </c>
      <c r="B391" s="126">
        <f>EJXC!D266</f>
        <v>960000</v>
      </c>
      <c r="C391" s="16" t="s">
        <v>2107</v>
      </c>
    </row>
    <row r="392" spans="1:3" x14ac:dyDescent="0.25">
      <c r="A392" t="str">
        <f>EJXC!A359</f>
        <v>EJBC350ES</v>
      </c>
      <c r="B392" s="126">
        <f>EJXC!D364</f>
        <v>1457500</v>
      </c>
      <c r="C392" s="16" t="s">
        <v>2108</v>
      </c>
    </row>
    <row r="393" spans="1:3" x14ac:dyDescent="0.25">
      <c r="A393" t="str">
        <f>EJXC!A247</f>
        <v>EJBC350F</v>
      </c>
      <c r="B393" s="126">
        <f>EJXC!D252</f>
        <v>1158500</v>
      </c>
      <c r="C393" s="16" t="s">
        <v>2109</v>
      </c>
    </row>
    <row r="394" spans="1:3" x14ac:dyDescent="0.25">
      <c r="A394" t="str">
        <f>EJXC!A219</f>
        <v>EJBC350FS</v>
      </c>
      <c r="B394" s="126">
        <f>EJXC!D224</f>
        <v>1687000</v>
      </c>
      <c r="C394" s="16" t="s">
        <v>2110</v>
      </c>
    </row>
    <row r="395" spans="1:3" x14ac:dyDescent="0.25">
      <c r="A395" t="str">
        <f>EJXC!A184</f>
        <v>EJBC350G</v>
      </c>
      <c r="B395" s="126">
        <f>EJXC!D189</f>
        <v>1749501.2000000002</v>
      </c>
      <c r="C395" s="16" t="s">
        <v>2111</v>
      </c>
    </row>
    <row r="396" spans="1:3" x14ac:dyDescent="0.25">
      <c r="A396" t="str">
        <f>EJXC!A170</f>
        <v>EJBC350GS</v>
      </c>
      <c r="B396" s="126">
        <f>EJXC!D175</f>
        <v>2315000</v>
      </c>
      <c r="C396" s="16" t="s">
        <v>2112</v>
      </c>
    </row>
    <row r="397" spans="1:3" x14ac:dyDescent="0.25">
      <c r="A397" t="str">
        <f>EJXC!A198</f>
        <v>EJBC350I</v>
      </c>
      <c r="B397" s="126">
        <f>EJXC!D203</f>
        <v>2670660</v>
      </c>
      <c r="C397" s="16" t="s">
        <v>2113</v>
      </c>
    </row>
    <row r="398" spans="1:3" x14ac:dyDescent="0.25">
      <c r="A398" t="str">
        <f>EJXC!A163</f>
        <v>EJBC350IS</v>
      </c>
      <c r="B398" s="126">
        <f>EJXC!D168</f>
        <v>3319600</v>
      </c>
      <c r="C398" s="16" t="s">
        <v>2114</v>
      </c>
    </row>
    <row r="399" spans="1:3" x14ac:dyDescent="0.25">
      <c r="A399" t="str">
        <f>EJXC!A205</f>
        <v>EJBC350J</v>
      </c>
      <c r="B399" s="126">
        <f>EJXC!D210</f>
        <v>4895040</v>
      </c>
      <c r="C399" s="16" t="s">
        <v>2115</v>
      </c>
    </row>
    <row r="400" spans="1:3" x14ac:dyDescent="0.25">
      <c r="A400" t="str">
        <f>EJXC!A373</f>
        <v>EJBC350JS</v>
      </c>
      <c r="B400" s="126">
        <f>EJXC!D378</f>
        <v>5510000</v>
      </c>
      <c r="C400" s="16" t="s">
        <v>2116</v>
      </c>
    </row>
    <row r="401" spans="1:3" x14ac:dyDescent="0.25">
      <c r="A401" t="str">
        <f>EJXC!A380</f>
        <v>EJBC350KS</v>
      </c>
      <c r="B401" s="126">
        <f>EJXC!D385</f>
        <v>7796400</v>
      </c>
      <c r="C401" s="16" t="s">
        <v>2117</v>
      </c>
    </row>
    <row r="402" spans="1:3" x14ac:dyDescent="0.25">
      <c r="A402" t="str">
        <f>EJXC!A268</f>
        <v>EJBC350L</v>
      </c>
      <c r="B402" s="126">
        <f>EJXC!D273</f>
        <v>10980000</v>
      </c>
      <c r="C402" s="16" t="s">
        <v>2118</v>
      </c>
    </row>
    <row r="403" spans="1:3" x14ac:dyDescent="0.25">
      <c r="A403" t="str">
        <f>EJXC!A275</f>
        <v>EJBC350LS</v>
      </c>
      <c r="B403" s="126">
        <f>EJXC!D280</f>
        <v>20171500</v>
      </c>
      <c r="C403" s="16" t="s">
        <v>2119</v>
      </c>
    </row>
    <row r="404" spans="1:3" x14ac:dyDescent="0.25">
      <c r="A404" t="str">
        <f>EJXC!A254</f>
        <v>EJBC580F</v>
      </c>
      <c r="B404" s="126">
        <f>EJXC!D259</f>
        <v>1318000</v>
      </c>
      <c r="C404" s="16" t="s">
        <v>2120</v>
      </c>
    </row>
    <row r="405" spans="1:3" x14ac:dyDescent="0.25">
      <c r="A405" t="str">
        <f>EJXC!A303</f>
        <v>EJBC580FS</v>
      </c>
      <c r="B405" s="126">
        <f>EJXC!D308</f>
        <v>2006000</v>
      </c>
      <c r="C405" s="16" t="s">
        <v>2121</v>
      </c>
    </row>
    <row r="406" spans="1:3" x14ac:dyDescent="0.25">
      <c r="A406" t="str">
        <f>EJXC!A282</f>
        <v>EJBC580G</v>
      </c>
      <c r="B406" s="126">
        <f>EJXC!D287</f>
        <v>1899814</v>
      </c>
      <c r="C406" s="16" t="s">
        <v>2122</v>
      </c>
    </row>
    <row r="407" spans="1:3" x14ac:dyDescent="0.25">
      <c r="A407" t="str">
        <f>EJXC!A191</f>
        <v>EJBC580I</v>
      </c>
      <c r="B407" s="126">
        <f>EJXC!D196</f>
        <v>2881200</v>
      </c>
      <c r="C407" s="16" t="s">
        <v>2123</v>
      </c>
    </row>
    <row r="408" spans="1:3" x14ac:dyDescent="0.25">
      <c r="A408" t="str">
        <f>EJXC!A233</f>
        <v>EJBC580IS</v>
      </c>
      <c r="B408" s="126">
        <f>EJXC!D238</f>
        <v>3757600</v>
      </c>
      <c r="C408" s="16" t="s">
        <v>2124</v>
      </c>
    </row>
    <row r="409" spans="1:3" x14ac:dyDescent="0.25">
      <c r="A409" t="str">
        <f>EJXC!A79</f>
        <v>EJBC580J</v>
      </c>
      <c r="B409" s="126">
        <f>EJXC!D84</f>
        <v>5490800</v>
      </c>
      <c r="C409" s="16" t="s">
        <v>2125</v>
      </c>
    </row>
    <row r="410" spans="1:3" x14ac:dyDescent="0.25">
      <c r="A410" t="str">
        <f>EJXC!A240</f>
        <v>EJBC580JS</v>
      </c>
      <c r="B410" s="126">
        <f>EJXC!D245</f>
        <v>6230000</v>
      </c>
      <c r="C410" s="16" t="s">
        <v>2126</v>
      </c>
    </row>
    <row r="411" spans="1:3" x14ac:dyDescent="0.25">
      <c r="A411" t="str">
        <f>EJXC!A226</f>
        <v>EJBC580K</v>
      </c>
      <c r="B411" s="126">
        <f>EJXC!D231</f>
        <v>8479500</v>
      </c>
      <c r="C411" s="16" t="s">
        <v>2127</v>
      </c>
    </row>
    <row r="412" spans="1:3" x14ac:dyDescent="0.25">
      <c r="A412" t="str">
        <f>EJXC!A324</f>
        <v>EJBC580KS</v>
      </c>
      <c r="B412" s="126">
        <f>EJXC!D329</f>
        <v>8750500</v>
      </c>
      <c r="C412" s="16" t="s">
        <v>2128</v>
      </c>
    </row>
    <row r="413" spans="1:3" x14ac:dyDescent="0.25">
      <c r="A413" t="str">
        <f>EJXC!A296</f>
        <v>EJBC580M</v>
      </c>
      <c r="B413" s="126">
        <f>EJXC!D301</f>
        <v>3463000</v>
      </c>
      <c r="C413" s="16" t="s">
        <v>2129</v>
      </c>
    </row>
    <row r="414" spans="1:3" x14ac:dyDescent="0.25">
      <c r="A414" t="str">
        <f>EJXC!A15</f>
        <v>EJBC270G</v>
      </c>
      <c r="B414" s="126">
        <f>EJXC!D20</f>
        <v>1711923</v>
      </c>
      <c r="C414" s="16" t="s">
        <v>2130</v>
      </c>
    </row>
    <row r="415" spans="1:3" x14ac:dyDescent="0.25">
      <c r="A415" t="str">
        <f>EJXC!A142</f>
        <v>EJBC330E</v>
      </c>
      <c r="B415" s="126">
        <f>EJXC!D147</f>
        <v>960000</v>
      </c>
      <c r="C415" s="16" t="s">
        <v>2131</v>
      </c>
    </row>
    <row r="416" spans="1:3" x14ac:dyDescent="0.25">
      <c r="A416" t="str">
        <f>EJXC!A22</f>
        <v>EJBC740JR</v>
      </c>
      <c r="B416" s="126">
        <f>EJXC!D27</f>
        <v>3160010</v>
      </c>
      <c r="C416" s="16" t="s">
        <v>2132</v>
      </c>
    </row>
    <row r="417" spans="1:3" x14ac:dyDescent="0.25">
      <c r="A417" t="str">
        <f>EJXC!A114</f>
        <v>EJBC380G</v>
      </c>
      <c r="B417" s="126">
        <f>EJXC!D119</f>
        <v>1787079.4000000001</v>
      </c>
      <c r="C417" s="16" t="s">
        <v>2133</v>
      </c>
    </row>
    <row r="418" spans="1:3" x14ac:dyDescent="0.25">
      <c r="A418" t="str">
        <f>EJXC!A1</f>
        <v>EJBC240G</v>
      </c>
      <c r="B418" s="126">
        <f>EJXC!D6</f>
        <v>1711923</v>
      </c>
      <c r="C418" s="16" t="s">
        <v>2134</v>
      </c>
    </row>
    <row r="419" spans="1:3" x14ac:dyDescent="0.25">
      <c r="A419" t="str">
        <f>EJXC!A8</f>
        <v>EJBC270I</v>
      </c>
      <c r="B419" s="126">
        <f>EJXC!D13</f>
        <v>2618025</v>
      </c>
      <c r="C419" s="16" t="s">
        <v>2135</v>
      </c>
    </row>
    <row r="420" spans="1:3" x14ac:dyDescent="0.25">
      <c r="A420" t="str">
        <f>EJXC!A156</f>
        <v>EJBC420G</v>
      </c>
      <c r="B420" s="126">
        <f>EJXC!D161</f>
        <v>1899814</v>
      </c>
      <c r="C420" s="16" t="s">
        <v>2136</v>
      </c>
    </row>
    <row r="421" spans="1:3" x14ac:dyDescent="0.25">
      <c r="A421" t="str">
        <f>EJXC!A72</f>
        <v>EJBC410JS</v>
      </c>
      <c r="B421" s="126">
        <f>EJXC!D77</f>
        <v>6230000</v>
      </c>
      <c r="C421" s="16" t="s">
        <v>2137</v>
      </c>
    </row>
    <row r="422" spans="1:3" x14ac:dyDescent="0.25">
      <c r="A422" t="s">
        <v>373</v>
      </c>
      <c r="B422" s="126">
        <f>EJXC!D70</f>
        <v>1160500</v>
      </c>
      <c r="C422" s="16" t="s">
        <v>2138</v>
      </c>
    </row>
    <row r="423" spans="1:3" x14ac:dyDescent="0.25">
      <c r="A423" t="str">
        <f>EJXC!A121</f>
        <v>EJBC300K</v>
      </c>
      <c r="B423" s="126">
        <f>EJXC!D126</f>
        <v>8479500</v>
      </c>
      <c r="C423" s="16" t="s">
        <v>2139</v>
      </c>
    </row>
    <row r="424" spans="1:3" x14ac:dyDescent="0.25">
      <c r="A424" t="str">
        <f>EJXC!A107</f>
        <v>EJBC370F</v>
      </c>
      <c r="B424" s="126">
        <f>EJXC!D112</f>
        <v>1222300</v>
      </c>
      <c r="C424" s="16" t="s">
        <v>2140</v>
      </c>
    </row>
    <row r="425" spans="1:3" x14ac:dyDescent="0.25">
      <c r="A425" t="str">
        <f>EJXC!A177</f>
        <v>EJBC550F</v>
      </c>
      <c r="B425" s="126">
        <f>EJXC!D182</f>
        <v>1318000</v>
      </c>
      <c r="C425" s="16" t="s">
        <v>2141</v>
      </c>
    </row>
    <row r="426" spans="1:3" x14ac:dyDescent="0.25">
      <c r="A426" t="str">
        <f>EJXC!A44</f>
        <v>EJBC420I</v>
      </c>
      <c r="B426" s="126">
        <f>EJXC!D49</f>
        <v>2881200</v>
      </c>
      <c r="C426" s="16" t="s">
        <v>2142</v>
      </c>
    </row>
    <row r="427" spans="1:3" x14ac:dyDescent="0.25">
      <c r="A427" t="str">
        <f>EJXC!A93</f>
        <v>EJBC170IS</v>
      </c>
      <c r="B427" s="126">
        <f>EJXC!D98</f>
        <v>3319600</v>
      </c>
      <c r="C427" s="16" t="s">
        <v>2143</v>
      </c>
    </row>
    <row r="428" spans="1:3" x14ac:dyDescent="0.25">
      <c r="A428" t="str">
        <f>EJXC!A135</f>
        <v>EJBC220IS</v>
      </c>
      <c r="B428" s="126">
        <f>EJXC!D140</f>
        <v>3319600</v>
      </c>
      <c r="C428" s="16" t="s">
        <v>2144</v>
      </c>
    </row>
    <row r="429" spans="1:3" x14ac:dyDescent="0.25">
      <c r="A429" t="str">
        <f>EJXC!A100</f>
        <v>EJBC340IS</v>
      </c>
      <c r="B429" s="126">
        <f>EJXC!D105</f>
        <v>3319600</v>
      </c>
      <c r="C429" s="16" t="s">
        <v>2145</v>
      </c>
    </row>
    <row r="430" spans="1:3" x14ac:dyDescent="0.25">
      <c r="A430" t="str">
        <f>EJXC!A86</f>
        <v>EJBC430IS</v>
      </c>
      <c r="B430" s="126">
        <f>EJXC!D91</f>
        <v>3757600</v>
      </c>
      <c r="C430" s="16" t="s">
        <v>2146</v>
      </c>
    </row>
    <row r="431" spans="1:3" x14ac:dyDescent="0.25">
      <c r="A431" t="str">
        <f>EJXC!A128</f>
        <v>EJBC300KS</v>
      </c>
      <c r="B431" s="126">
        <f>EJXC!D133</f>
        <v>8750500</v>
      </c>
      <c r="C431" s="16" t="s">
        <v>2147</v>
      </c>
    </row>
    <row r="432" spans="1:3" x14ac:dyDescent="0.25">
      <c r="A432" t="str">
        <f>EJXC!A58</f>
        <v>EJBC440KS</v>
      </c>
      <c r="B432" s="126">
        <f>EJXC!D63</f>
        <v>8750500</v>
      </c>
      <c r="C432" s="16" t="s">
        <v>2148</v>
      </c>
    </row>
    <row r="433" spans="1:3" x14ac:dyDescent="0.25">
      <c r="A433" t="str">
        <f>EJXC!A149</f>
        <v>EJBC830KR</v>
      </c>
      <c r="B433" s="126">
        <f>EJXC!D154</f>
        <v>8445573.333333334</v>
      </c>
      <c r="C433" s="16" t="s">
        <v>2149</v>
      </c>
    </row>
    <row r="434" spans="1:3" x14ac:dyDescent="0.25">
      <c r="A434" t="str">
        <f>EJXC!A51</f>
        <v>EJBC370IS</v>
      </c>
      <c r="B434" s="126">
        <f>EJXC!D56</f>
        <v>3319600</v>
      </c>
      <c r="C434" s="16" t="s">
        <v>2150</v>
      </c>
    </row>
    <row r="435" spans="1:3" ht="18.75" x14ac:dyDescent="0.3">
      <c r="A435" s="280" t="s">
        <v>72</v>
      </c>
      <c r="B435" s="280"/>
      <c r="C435" s="280"/>
    </row>
    <row r="436" spans="1:3" ht="18.75" x14ac:dyDescent="0.3">
      <c r="A436" s="139" t="s">
        <v>1721</v>
      </c>
      <c r="B436" s="139" t="s">
        <v>1280</v>
      </c>
      <c r="C436" s="140" t="s">
        <v>1722</v>
      </c>
    </row>
    <row r="437" spans="1:3" x14ac:dyDescent="0.25">
      <c r="A437" t="s">
        <v>2151</v>
      </c>
      <c r="B437" s="126">
        <f>INSUMOS!B107</f>
        <v>130000</v>
      </c>
      <c r="C437" s="16" t="s">
        <v>2152</v>
      </c>
    </row>
    <row r="438" spans="1:3" x14ac:dyDescent="0.25">
      <c r="A438" t="s">
        <v>2153</v>
      </c>
      <c r="B438" s="126">
        <f>INSUMOS!B109</f>
        <v>68000</v>
      </c>
      <c r="C438" s="16" t="s">
        <v>2154</v>
      </c>
    </row>
    <row r="439" spans="1:3" x14ac:dyDescent="0.25">
      <c r="A439" t="s">
        <v>2155</v>
      </c>
      <c r="B439" s="126">
        <f>INSUMOS!B110</f>
        <v>115000</v>
      </c>
      <c r="C439" s="16" t="s">
        <v>2156</v>
      </c>
    </row>
    <row r="440" spans="1:3" x14ac:dyDescent="0.25">
      <c r="A440" t="s">
        <v>2157</v>
      </c>
      <c r="B440" s="126">
        <f>INSUMOS!B106</f>
        <v>80000</v>
      </c>
      <c r="C440" s="16" t="s">
        <v>2158</v>
      </c>
    </row>
    <row r="441" spans="1:3" x14ac:dyDescent="0.25">
      <c r="A441" t="s">
        <v>2159</v>
      </c>
      <c r="B441" s="126">
        <f>INSUMOS!B111</f>
        <v>90000</v>
      </c>
      <c r="C441" s="16" t="s">
        <v>2160</v>
      </c>
    </row>
    <row r="442" spans="1:3" x14ac:dyDescent="0.25">
      <c r="A442" t="s">
        <v>2161</v>
      </c>
      <c r="B442" s="126">
        <f>INSUMOS!B112</f>
        <v>96000</v>
      </c>
      <c r="C442" s="16" t="s">
        <v>2162</v>
      </c>
    </row>
    <row r="443" spans="1:3" x14ac:dyDescent="0.25">
      <c r="A443" t="s">
        <v>2163</v>
      </c>
      <c r="B443" s="126">
        <f>INSUMOS!B108</f>
        <v>88000</v>
      </c>
      <c r="C443" s="16" t="s">
        <v>2164</v>
      </c>
    </row>
    <row r="444" spans="1:3" x14ac:dyDescent="0.25">
      <c r="A444" t="s">
        <v>2165</v>
      </c>
      <c r="B444" s="126">
        <f>INSUMOS!B113</f>
        <v>100000</v>
      </c>
      <c r="C444" s="16" t="s">
        <v>2166</v>
      </c>
    </row>
    <row r="445" spans="1:3" x14ac:dyDescent="0.25">
      <c r="A445" t="s">
        <v>2167</v>
      </c>
      <c r="B445" s="126">
        <f>INSUMOS!B114</f>
        <v>160000</v>
      </c>
      <c r="C445" s="16" t="s">
        <v>2168</v>
      </c>
    </row>
    <row r="446" spans="1:3" x14ac:dyDescent="0.25">
      <c r="A446" t="str">
        <f>INSUMOS!A115</f>
        <v>PL-300-025-80</v>
      </c>
      <c r="B446" s="126">
        <f>INSUMOS!B115</f>
        <v>110000</v>
      </c>
      <c r="C446" s="16" t="s">
        <v>2169</v>
      </c>
    </row>
    <row r="447" spans="1:3" x14ac:dyDescent="0.25">
      <c r="A447" t="s">
        <v>2170</v>
      </c>
      <c r="B447" s="126">
        <f>INSUMOS!B119</f>
        <v>133000</v>
      </c>
      <c r="C447" s="16" t="s">
        <v>2169</v>
      </c>
    </row>
    <row r="448" spans="1:3" x14ac:dyDescent="0.25">
      <c r="A448" t="s">
        <v>2171</v>
      </c>
      <c r="B448" s="126">
        <f>INSUMOS!B119</f>
        <v>133000</v>
      </c>
      <c r="C448" s="16" t="s">
        <v>2172</v>
      </c>
    </row>
    <row r="449" spans="1:3" x14ac:dyDescent="0.25">
      <c r="A449" t="s">
        <v>2173</v>
      </c>
      <c r="B449" s="126">
        <f>INSUMOS!B118</f>
        <v>160000</v>
      </c>
      <c r="C449" s="16" t="s">
        <v>2174</v>
      </c>
    </row>
    <row r="450" spans="1:3" x14ac:dyDescent="0.25">
      <c r="A450" t="s">
        <v>2175</v>
      </c>
      <c r="B450" s="126">
        <f>INSUMOS!B120</f>
        <v>200000</v>
      </c>
      <c r="C450" s="16" t="s">
        <v>2176</v>
      </c>
    </row>
    <row r="451" spans="1:3" x14ac:dyDescent="0.25">
      <c r="A451" t="s">
        <v>73</v>
      </c>
      <c r="B451" s="126">
        <f>INSUMOS!B122</f>
        <v>295000</v>
      </c>
      <c r="C451" s="16" t="s">
        <v>2177</v>
      </c>
    </row>
    <row r="452" spans="1:3" x14ac:dyDescent="0.25">
      <c r="A452" t="s">
        <v>2178</v>
      </c>
      <c r="B452" s="126">
        <v>350000</v>
      </c>
      <c r="C452" s="16" t="s">
        <v>2179</v>
      </c>
    </row>
    <row r="453" spans="1:3" x14ac:dyDescent="0.25">
      <c r="A453" t="s">
        <v>2180</v>
      </c>
      <c r="B453" s="126">
        <f>INSUMOS!B124</f>
        <v>390000</v>
      </c>
      <c r="C453" s="16" t="s">
        <v>2181</v>
      </c>
    </row>
    <row r="454" spans="1:3" x14ac:dyDescent="0.25">
      <c r="A454" t="s">
        <v>2182</v>
      </c>
      <c r="B454" s="126">
        <f>INSUMOS!B125</f>
        <v>580000</v>
      </c>
      <c r="C454" s="16" t="s">
        <v>2183</v>
      </c>
    </row>
    <row r="455" spans="1:3" ht="18.75" x14ac:dyDescent="0.3">
      <c r="A455" s="280" t="s">
        <v>64</v>
      </c>
      <c r="B455" s="280"/>
      <c r="C455" s="280"/>
    </row>
    <row r="456" spans="1:3" ht="18.75" x14ac:dyDescent="0.3">
      <c r="A456" s="139" t="s">
        <v>1721</v>
      </c>
      <c r="B456" s="139" t="s">
        <v>1280</v>
      </c>
      <c r="C456" s="140" t="s">
        <v>1722</v>
      </c>
    </row>
    <row r="457" spans="1:3" x14ac:dyDescent="0.25">
      <c r="A457" t="str">
        <f>INSUMOS!A424</f>
        <v>RF07DRS71S4</v>
      </c>
      <c r="B457" s="118">
        <f>INSUMOS!B424</f>
        <v>1155000</v>
      </c>
      <c r="C457" s="16" t="s">
        <v>232</v>
      </c>
    </row>
    <row r="458" spans="1:3" x14ac:dyDescent="0.25">
      <c r="A458" t="str">
        <f>INSUMOS!A425</f>
        <v>RF17DRS63L4</v>
      </c>
      <c r="B458" s="126">
        <f>INSUMOS!B425</f>
        <v>1152000</v>
      </c>
      <c r="C458" s="16" t="s">
        <v>232</v>
      </c>
    </row>
    <row r="459" spans="1:3" x14ac:dyDescent="0.25">
      <c r="A459" t="str">
        <f>INSUMOS!A426</f>
        <v>RF17DRS71S4</v>
      </c>
      <c r="B459" s="118">
        <f>INSUMOS!B426</f>
        <v>1200000</v>
      </c>
      <c r="C459" s="16" t="s">
        <v>232</v>
      </c>
    </row>
    <row r="460" spans="1:3" x14ac:dyDescent="0.25">
      <c r="A460" t="str">
        <f>INSUMOS!A427</f>
        <v>RF17DRS71M4</v>
      </c>
      <c r="B460" s="118">
        <f>INSUMOS!B427</f>
        <v>1300000</v>
      </c>
      <c r="C460" s="16" t="s">
        <v>232</v>
      </c>
    </row>
    <row r="461" spans="1:3" x14ac:dyDescent="0.25">
      <c r="A461" t="str">
        <f>INSUMOS!A428</f>
        <v>RF17DRS80S4</v>
      </c>
      <c r="B461" s="118">
        <f>INSUMOS!B428</f>
        <v>1416000</v>
      </c>
      <c r="C461" s="16" t="s">
        <v>232</v>
      </c>
    </row>
    <row r="462" spans="1:3" x14ac:dyDescent="0.25">
      <c r="A462" t="str">
        <f>INSUMOS!A429</f>
        <v>RF27DRS63L4</v>
      </c>
      <c r="B462" s="126">
        <f>INSUMOS!B429</f>
        <v>1215000</v>
      </c>
      <c r="C462" s="16" t="s">
        <v>232</v>
      </c>
    </row>
    <row r="463" spans="1:3" x14ac:dyDescent="0.25">
      <c r="A463" t="str">
        <f>INSUMOS!A430</f>
        <v>RF27DRS71S4</v>
      </c>
      <c r="B463" s="118">
        <f>INSUMOS!B430</f>
        <v>1274900</v>
      </c>
      <c r="C463" s="16" t="s">
        <v>232</v>
      </c>
    </row>
    <row r="464" spans="1:3" x14ac:dyDescent="0.25">
      <c r="A464" t="str">
        <f>INSUMOS!A431</f>
        <v>RF27DRS71M4</v>
      </c>
      <c r="B464" s="118">
        <f>INSUMOS!B431</f>
        <v>1350000</v>
      </c>
      <c r="C464" s="16" t="s">
        <v>232</v>
      </c>
    </row>
    <row r="465" spans="1:3" x14ac:dyDescent="0.25">
      <c r="A465" t="str">
        <f>INSUMOS!A432</f>
        <v>RF27DRS80S4</v>
      </c>
      <c r="B465" s="118">
        <f>INSUMOS!B432</f>
        <v>1492202.8</v>
      </c>
      <c r="C465" s="16" t="s">
        <v>232</v>
      </c>
    </row>
    <row r="466" spans="1:3" x14ac:dyDescent="0.25">
      <c r="A466" t="str">
        <f>INSUMOS!A433</f>
        <v>RF27DRS80M4</v>
      </c>
      <c r="B466" s="118">
        <f>INSUMOS!B433</f>
        <v>1620000</v>
      </c>
      <c r="C466" s="16" t="s">
        <v>232</v>
      </c>
    </row>
    <row r="467" spans="1:3" x14ac:dyDescent="0.25">
      <c r="A467" t="str">
        <f>INSUMOS!A434</f>
        <v>RF27DRS90M4</v>
      </c>
      <c r="B467" s="118">
        <f>INSUMOS!B434</f>
        <v>1688526</v>
      </c>
      <c r="C467" s="16" t="s">
        <v>232</v>
      </c>
    </row>
    <row r="468" spans="1:3" x14ac:dyDescent="0.25">
      <c r="A468" t="str">
        <f>INSUMOS!A435</f>
        <v>RF37DRS63L4</v>
      </c>
      <c r="B468" s="118">
        <f>INSUMOS!B435</f>
        <v>1300000</v>
      </c>
      <c r="C468" s="16" t="s">
        <v>232</v>
      </c>
    </row>
    <row r="469" spans="1:3" x14ac:dyDescent="0.25">
      <c r="A469" t="str">
        <f>INSUMOS!A436</f>
        <v>RF37DRS71S4</v>
      </c>
      <c r="B469" s="118">
        <f>INSUMOS!B436</f>
        <v>1340000</v>
      </c>
      <c r="C469" s="16" t="s">
        <v>232</v>
      </c>
    </row>
    <row r="470" spans="1:3" x14ac:dyDescent="0.25">
      <c r="A470" t="str">
        <f>INSUMOS!A437</f>
        <v>RF37DRS71M4</v>
      </c>
      <c r="B470" s="118">
        <f>INSUMOS!B437</f>
        <v>1430000</v>
      </c>
      <c r="C470" s="16" t="s">
        <v>232</v>
      </c>
    </row>
    <row r="471" spans="1:3" x14ac:dyDescent="0.25">
      <c r="A471" t="str">
        <f>INSUMOS!A438</f>
        <v>RF37DRS80S4</v>
      </c>
      <c r="B471" s="118">
        <f>INSUMOS!B438</f>
        <v>1560000</v>
      </c>
      <c r="C471" s="16" t="s">
        <v>232</v>
      </c>
    </row>
    <row r="472" spans="1:3" x14ac:dyDescent="0.25">
      <c r="A472" t="str">
        <f>INSUMOS!A439</f>
        <v>RF37DRS80M4</v>
      </c>
      <c r="B472" s="118">
        <f>INSUMOS!B439</f>
        <v>1690000</v>
      </c>
      <c r="C472" s="16" t="s">
        <v>232</v>
      </c>
    </row>
    <row r="473" spans="1:3" x14ac:dyDescent="0.25">
      <c r="A473" t="str">
        <f>INSUMOS!A440</f>
        <v>RF37DRS90M4</v>
      </c>
      <c r="B473" s="118">
        <f>INSUMOS!B440</f>
        <v>1710000</v>
      </c>
      <c r="C473" s="16" t="s">
        <v>232</v>
      </c>
    </row>
    <row r="474" spans="1:3" x14ac:dyDescent="0.25">
      <c r="A474" t="str">
        <f>INSUMOS!A441</f>
        <v>RF37DRS90L4</v>
      </c>
      <c r="B474" s="118">
        <f>INSUMOS!B441</f>
        <v>1850000</v>
      </c>
      <c r="C474" s="16" t="s">
        <v>232</v>
      </c>
    </row>
    <row r="475" spans="1:3" x14ac:dyDescent="0.25">
      <c r="A475" t="str">
        <f>INSUMOS!A442</f>
        <v>RF47DRS71S4</v>
      </c>
      <c r="B475" s="118">
        <f>INSUMOS!B442</f>
        <v>1540000</v>
      </c>
      <c r="C475" s="16" t="s">
        <v>232</v>
      </c>
    </row>
    <row r="476" spans="1:3" x14ac:dyDescent="0.25">
      <c r="A476" t="str">
        <f>+INSUMOS!A443</f>
        <v>RF47DRS71M4</v>
      </c>
      <c r="B476" s="118">
        <f>INSUMOS!B443</f>
        <v>1605000</v>
      </c>
      <c r="C476" s="16" t="s">
        <v>232</v>
      </c>
    </row>
    <row r="477" spans="1:3" x14ac:dyDescent="0.25">
      <c r="A477" t="str">
        <f>INSUMOS!A444</f>
        <v>RF47DRS80S4</v>
      </c>
      <c r="B477" s="118">
        <f>INSUMOS!B444</f>
        <v>1730000</v>
      </c>
      <c r="C477" s="16" t="s">
        <v>232</v>
      </c>
    </row>
    <row r="478" spans="1:3" x14ac:dyDescent="0.25">
      <c r="A478" t="str">
        <f>INSUMOS!A445</f>
        <v>RF47DRS80M4</v>
      </c>
      <c r="B478" s="118">
        <f>INSUMOS!B445</f>
        <v>1882100.0000000002</v>
      </c>
      <c r="C478" s="16" t="s">
        <v>232</v>
      </c>
    </row>
    <row r="479" spans="1:3" x14ac:dyDescent="0.25">
      <c r="A479" t="str">
        <f>INSUMOS!A446</f>
        <v>RF47DRS90M4</v>
      </c>
      <c r="B479" s="118">
        <f>INSUMOS!B446</f>
        <v>1993000</v>
      </c>
      <c r="C479" s="16" t="s">
        <v>232</v>
      </c>
    </row>
    <row r="480" spans="1:3" x14ac:dyDescent="0.25">
      <c r="A480" t="str">
        <f>INSUMOS!A448</f>
        <v>RF47DRS90L4</v>
      </c>
      <c r="B480" s="118">
        <f>INSUMOS!B448</f>
        <v>1893000</v>
      </c>
      <c r="C480" s="16" t="s">
        <v>232</v>
      </c>
    </row>
    <row r="481" spans="1:3" x14ac:dyDescent="0.25">
      <c r="A481" t="str">
        <f>INSUMOS!A449</f>
        <v>RF47DRS100L4</v>
      </c>
      <c r="B481" s="118">
        <f>INSUMOS!B449</f>
        <v>2270000</v>
      </c>
      <c r="C481" s="16" t="s">
        <v>232</v>
      </c>
    </row>
    <row r="482" spans="1:3" x14ac:dyDescent="0.25">
      <c r="A482" t="str">
        <f>INSUMOS!A450</f>
        <v>RF57DRS63L4</v>
      </c>
      <c r="B482" s="118">
        <f>INSUMOS!B450</f>
        <v>1515000</v>
      </c>
      <c r="C482" s="16" t="s">
        <v>232</v>
      </c>
    </row>
    <row r="483" spans="1:3" x14ac:dyDescent="0.25">
      <c r="A483" t="str">
        <f>INSUMOS!A451</f>
        <v>RF57DRS71S4</v>
      </c>
      <c r="B483" s="118">
        <f>INSUMOS!B451</f>
        <v>1562652</v>
      </c>
      <c r="C483" s="16" t="s">
        <v>232</v>
      </c>
    </row>
    <row r="484" spans="1:3" x14ac:dyDescent="0.25">
      <c r="A484" t="str">
        <f>INSUMOS!A452</f>
        <v>RF57DRS71M4</v>
      </c>
      <c r="B484" s="118">
        <f>INSUMOS!B452</f>
        <v>1650000</v>
      </c>
      <c r="C484" s="16" t="s">
        <v>232</v>
      </c>
    </row>
    <row r="485" spans="1:3" x14ac:dyDescent="0.25">
      <c r="A485" t="str">
        <f>INSUMOS!A453</f>
        <v>RF57DRS80S4</v>
      </c>
      <c r="B485" s="118">
        <f>INSUMOS!B453</f>
        <v>1800000</v>
      </c>
      <c r="C485" s="16" t="s">
        <v>232</v>
      </c>
    </row>
    <row r="486" spans="1:3" x14ac:dyDescent="0.25">
      <c r="A486" t="str">
        <f>INSUMOS!A454</f>
        <v>RF57DRS80M4</v>
      </c>
      <c r="B486" s="118">
        <f>INSUMOS!B454</f>
        <v>1915000</v>
      </c>
      <c r="C486" s="16" t="s">
        <v>232</v>
      </c>
    </row>
    <row r="487" spans="1:3" x14ac:dyDescent="0.25">
      <c r="A487" t="str">
        <f>INSUMOS!A455</f>
        <v>RF57DRS90M4</v>
      </c>
      <c r="B487" s="118">
        <f>INSUMOS!B455</f>
        <v>1986000</v>
      </c>
      <c r="C487" s="16" t="s">
        <v>232</v>
      </c>
    </row>
    <row r="488" spans="1:3" x14ac:dyDescent="0.25">
      <c r="A488" t="str">
        <f>INSUMOS!A456</f>
        <v>RF57DRS90L4</v>
      </c>
      <c r="B488" s="118">
        <f>INSUMOS!B456</f>
        <v>2052000</v>
      </c>
      <c r="C488" s="16" t="s">
        <v>232</v>
      </c>
    </row>
    <row r="489" spans="1:3" x14ac:dyDescent="0.25">
      <c r="A489" t="str">
        <f>INSUMOS!A457</f>
        <v>RF57DRS100M4</v>
      </c>
      <c r="B489" s="118">
        <f>INSUMOS!B457</f>
        <v>2122000</v>
      </c>
      <c r="C489" s="16" t="s">
        <v>232</v>
      </c>
    </row>
    <row r="490" spans="1:3" x14ac:dyDescent="0.25">
      <c r="A490" t="str">
        <f>INSUMOS!A458</f>
        <v>RF57DRS100L4</v>
      </c>
      <c r="B490" s="118">
        <f>INSUMOS!B458</f>
        <v>2350000</v>
      </c>
      <c r="C490" s="16" t="s">
        <v>232</v>
      </c>
    </row>
    <row r="491" spans="1:3" x14ac:dyDescent="0.25">
      <c r="A491" t="str">
        <f>INSUMOS!A459</f>
        <v>RF57DRS132M4</v>
      </c>
      <c r="B491" s="118">
        <f>INSUMOS!B459</f>
        <v>4370000</v>
      </c>
      <c r="C491" s="16" t="s">
        <v>232</v>
      </c>
    </row>
    <row r="492" spans="1:3" x14ac:dyDescent="0.25">
      <c r="A492" t="str">
        <f>INSUMOS!A460</f>
        <v>RF67DRS71S4</v>
      </c>
      <c r="B492" s="118">
        <f>INSUMOS!B460</f>
        <v>2140000</v>
      </c>
      <c r="C492" s="16" t="s">
        <v>232</v>
      </c>
    </row>
    <row r="493" spans="1:3" x14ac:dyDescent="0.25">
      <c r="A493" t="str">
        <f>INSUMOS!A461</f>
        <v>RF67DRS71M4</v>
      </c>
      <c r="B493" s="118">
        <f>INSUMOS!B461</f>
        <v>2250000</v>
      </c>
      <c r="C493" s="16" t="s">
        <v>232</v>
      </c>
    </row>
    <row r="494" spans="1:3" x14ac:dyDescent="0.25">
      <c r="A494" t="str">
        <f>INSUMOS!A462</f>
        <v>RF67DRS80M4</v>
      </c>
      <c r="B494" s="118">
        <f>INSUMOS!B462</f>
        <v>2490000</v>
      </c>
      <c r="C494" s="16" t="s">
        <v>232</v>
      </c>
    </row>
    <row r="495" spans="1:3" x14ac:dyDescent="0.25">
      <c r="A495" t="str">
        <f>INSUMOS!A463</f>
        <v>RF67DRS90M4</v>
      </c>
      <c r="B495" s="118">
        <f>INSUMOS!B463</f>
        <v>2560000</v>
      </c>
      <c r="C495" s="16" t="s">
        <v>232</v>
      </c>
    </row>
    <row r="496" spans="1:3" x14ac:dyDescent="0.25">
      <c r="A496" t="str">
        <f>INSUMOS!A464</f>
        <v>RF67DRS90L4</v>
      </c>
      <c r="B496" s="118">
        <f>INSUMOS!B464</f>
        <v>2650000</v>
      </c>
      <c r="C496" s="16" t="s">
        <v>232</v>
      </c>
    </row>
    <row r="497" spans="1:3" x14ac:dyDescent="0.25">
      <c r="A497" t="str">
        <f>INSUMOS!A465</f>
        <v>RF67DRS100M4</v>
      </c>
      <c r="B497" s="118">
        <f>INSUMOS!B465</f>
        <v>2486000</v>
      </c>
      <c r="C497" s="16" t="s">
        <v>232</v>
      </c>
    </row>
    <row r="498" spans="1:3" x14ac:dyDescent="0.25">
      <c r="A498" t="str">
        <f>INSUMOS!A466</f>
        <v>RF67DRS100L4</v>
      </c>
      <c r="B498" s="118">
        <f>INSUMOS!B466</f>
        <v>2800000</v>
      </c>
      <c r="C498" s="16" t="s">
        <v>232</v>
      </c>
    </row>
    <row r="499" spans="1:3" x14ac:dyDescent="0.25">
      <c r="A499" t="str">
        <f>INSUMOS!A467</f>
        <v>RF67DRS112M4</v>
      </c>
      <c r="B499" s="118">
        <f>INSUMOS!B467</f>
        <v>2800000</v>
      </c>
      <c r="C499" s="16" t="s">
        <v>232</v>
      </c>
    </row>
    <row r="500" spans="1:3" x14ac:dyDescent="0.25">
      <c r="A500" t="str">
        <f>INSUMOS!A468</f>
        <v>RF67DRS132S4</v>
      </c>
      <c r="B500" s="118">
        <f>INSUMOS!B468</f>
        <v>3060000</v>
      </c>
      <c r="C500" s="16" t="s">
        <v>232</v>
      </c>
    </row>
    <row r="501" spans="1:3" x14ac:dyDescent="0.25">
      <c r="A501" t="str">
        <f>INSUMOS!A469</f>
        <v>RF77DRS71S4</v>
      </c>
      <c r="B501" s="118">
        <f>INSUMOS!B469</f>
        <v>2570000</v>
      </c>
      <c r="C501" s="16" t="s">
        <v>232</v>
      </c>
    </row>
    <row r="502" spans="1:3" x14ac:dyDescent="0.25">
      <c r="A502" t="str">
        <f>INSUMOS!A470</f>
        <v>RF77DRS71M4</v>
      </c>
      <c r="B502" s="118">
        <f>INSUMOS!B470</f>
        <v>2660000</v>
      </c>
      <c r="C502" s="16" t="s">
        <v>232</v>
      </c>
    </row>
    <row r="503" spans="1:3" x14ac:dyDescent="0.25">
      <c r="A503" t="str">
        <f>INSUMOS!A471</f>
        <v>RF77DRS80S4</v>
      </c>
      <c r="B503" s="118">
        <f>INSUMOS!B471</f>
        <v>2787000</v>
      </c>
      <c r="C503" s="16" t="s">
        <v>232</v>
      </c>
    </row>
    <row r="504" spans="1:3" x14ac:dyDescent="0.25">
      <c r="A504" t="str">
        <f>INSUMOS!A472</f>
        <v>RF77DRS80M4</v>
      </c>
      <c r="B504" s="118">
        <f>INSUMOS!B472</f>
        <v>2950000</v>
      </c>
      <c r="C504" s="16" t="s">
        <v>232</v>
      </c>
    </row>
    <row r="505" spans="1:3" x14ac:dyDescent="0.25">
      <c r="A505" t="str">
        <f>INSUMOS!A473</f>
        <v>RF77DRS90M4</v>
      </c>
      <c r="B505" s="118">
        <f>INSUMOS!B473</f>
        <v>3000000</v>
      </c>
      <c r="C505" s="16" t="s">
        <v>232</v>
      </c>
    </row>
    <row r="506" spans="1:3" x14ac:dyDescent="0.25">
      <c r="A506" t="str">
        <f>INSUMOS!A474</f>
        <v>RF77DRS90L4</v>
      </c>
      <c r="B506" s="118">
        <f>INSUMOS!B474</f>
        <v>3065000</v>
      </c>
      <c r="C506" s="16" t="s">
        <v>232</v>
      </c>
    </row>
    <row r="507" spans="1:3" x14ac:dyDescent="0.25">
      <c r="A507" t="str">
        <f>INSUMOS!A475</f>
        <v>RF77DRS100L4</v>
      </c>
      <c r="B507" s="118">
        <f>INSUMOS!B475</f>
        <v>2870000</v>
      </c>
      <c r="C507" s="16" t="s">
        <v>232</v>
      </c>
    </row>
    <row r="508" spans="1:3" x14ac:dyDescent="0.25">
      <c r="A508" t="str">
        <f>INSUMOS!A476</f>
        <v>RF77DRS100M4</v>
      </c>
      <c r="B508" s="118">
        <f>INSUMOS!B476</f>
        <v>3150000</v>
      </c>
      <c r="C508" s="16" t="s">
        <v>232</v>
      </c>
    </row>
    <row r="509" spans="1:3" x14ac:dyDescent="0.25">
      <c r="A509" t="str">
        <f>INSUMOS!A477</f>
        <v>RF77DRS132S4</v>
      </c>
      <c r="B509" s="118">
        <f>INSUMOS!B477</f>
        <v>3530000</v>
      </c>
      <c r="C509" s="16" t="s">
        <v>232</v>
      </c>
    </row>
    <row r="510" spans="1:3" x14ac:dyDescent="0.25">
      <c r="A510" t="str">
        <f>INSUMOS!A478</f>
        <v>RF77DRS132M4</v>
      </c>
      <c r="B510" s="118">
        <f>INSUMOS!B478</f>
        <v>5200000</v>
      </c>
      <c r="C510" s="16" t="s">
        <v>232</v>
      </c>
    </row>
    <row r="511" spans="1:3" x14ac:dyDescent="0.25">
      <c r="A511" t="str">
        <f>INSUMOS!A479</f>
        <v>RF87DRS80S4</v>
      </c>
      <c r="B511" s="118">
        <f>INSUMOS!B479</f>
        <v>3750000</v>
      </c>
      <c r="C511" s="16" t="s">
        <v>232</v>
      </c>
    </row>
    <row r="512" spans="1:3" x14ac:dyDescent="0.25">
      <c r="A512" t="str">
        <f>INSUMOS!A480</f>
        <v>RF87DRS80M4</v>
      </c>
      <c r="B512" s="118">
        <f>INSUMOS!B480</f>
        <v>3900000</v>
      </c>
      <c r="C512" s="16" t="s">
        <v>232</v>
      </c>
    </row>
    <row r="513" spans="1:3" x14ac:dyDescent="0.25">
      <c r="A513" t="str">
        <f>INSUMOS!A481</f>
        <v>RF87DRS90M4</v>
      </c>
      <c r="B513" s="118">
        <f>INSUMOS!B481</f>
        <v>3970000</v>
      </c>
      <c r="C513" s="16" t="s">
        <v>232</v>
      </c>
    </row>
    <row r="514" spans="1:3" x14ac:dyDescent="0.25">
      <c r="A514" t="str">
        <f>INSUMOS!A482</f>
        <v>RF87DRS100M4</v>
      </c>
      <c r="B514" s="118">
        <f>INSUMOS!B482</f>
        <v>4102000</v>
      </c>
      <c r="C514" s="16" t="s">
        <v>232</v>
      </c>
    </row>
    <row r="515" spans="1:3" x14ac:dyDescent="0.25">
      <c r="A515" t="str">
        <f>INSUMOS!A483</f>
        <v>RF87DRS100L4</v>
      </c>
      <c r="B515" s="118">
        <f>INSUMOS!B483</f>
        <v>4100000</v>
      </c>
      <c r="C515" s="16" t="s">
        <v>232</v>
      </c>
    </row>
    <row r="516" spans="1:3" x14ac:dyDescent="0.25">
      <c r="A516" t="str">
        <f>INSUMOS!A484</f>
        <v>RF87DRS112M4</v>
      </c>
      <c r="B516" s="118">
        <f>INSUMOS!B484</f>
        <v>4415000</v>
      </c>
      <c r="C516" s="16" t="s">
        <v>232</v>
      </c>
    </row>
    <row r="517" spans="1:3" x14ac:dyDescent="0.25">
      <c r="A517" t="str">
        <f>INSUMOS!A485</f>
        <v>RF87DRS132S4</v>
      </c>
      <c r="B517" s="118">
        <f>INSUMOS!B485</f>
        <v>4680000</v>
      </c>
      <c r="C517" s="16" t="s">
        <v>232</v>
      </c>
    </row>
    <row r="518" spans="1:3" x14ac:dyDescent="0.25">
      <c r="A518" t="str">
        <f>INSUMOS!A486</f>
        <v>RF87DRS132M4</v>
      </c>
      <c r="B518" s="118">
        <f>INSUMOS!B486</f>
        <v>6300000</v>
      </c>
      <c r="C518" s="16" t="s">
        <v>232</v>
      </c>
    </row>
    <row r="519" spans="1:3" x14ac:dyDescent="0.25">
      <c r="A519" t="str">
        <f>INSUMOS!A487</f>
        <v>RF87DRS160L4</v>
      </c>
      <c r="B519" s="118">
        <f>INSUMOS!B487</f>
        <v>6780000</v>
      </c>
      <c r="C519" s="16" t="s">
        <v>232</v>
      </c>
    </row>
    <row r="520" spans="1:3" x14ac:dyDescent="0.25">
      <c r="A520" t="str">
        <f>INSUMOS!A488</f>
        <v>RF87DRS160M4</v>
      </c>
      <c r="B520" s="118">
        <f>INSUMOS!B488</f>
        <v>6890000</v>
      </c>
      <c r="C520" s="16" t="s">
        <v>232</v>
      </c>
    </row>
    <row r="521" spans="1:3" x14ac:dyDescent="0.25">
      <c r="A521" t="str">
        <f>INSUMOS!A489</f>
        <v>RF97DRS80M4</v>
      </c>
      <c r="B521" s="118">
        <f>INSUMOS!B489</f>
        <v>5367000</v>
      </c>
      <c r="C521" s="16" t="s">
        <v>232</v>
      </c>
    </row>
    <row r="522" spans="1:3" x14ac:dyDescent="0.25">
      <c r="A522" t="str">
        <f>INSUMOS!A490</f>
        <v>RF97DRS90M4</v>
      </c>
      <c r="B522" s="118">
        <f>INSUMOS!B490</f>
        <v>5450000</v>
      </c>
      <c r="C522" s="16" t="s">
        <v>232</v>
      </c>
    </row>
    <row r="523" spans="1:3" x14ac:dyDescent="0.25">
      <c r="A523" t="str">
        <f>INSUMOS!A491</f>
        <v>RF97DRS100M4</v>
      </c>
      <c r="B523" s="126">
        <f>INSUMOS!B491</f>
        <v>5600000</v>
      </c>
      <c r="C523" s="16" t="s">
        <v>232</v>
      </c>
    </row>
    <row r="524" spans="1:3" x14ac:dyDescent="0.25">
      <c r="A524" t="str">
        <f>INSUMOS!A492</f>
        <v>RF97DRS100L4</v>
      </c>
      <c r="B524" s="126">
        <f>INSUMOS!B492</f>
        <v>5779200</v>
      </c>
      <c r="C524" s="16" t="s">
        <v>232</v>
      </c>
    </row>
    <row r="525" spans="1:3" x14ac:dyDescent="0.25">
      <c r="A525" t="str">
        <f>INSUMOS!A493</f>
        <v>RF97DRS132S4</v>
      </c>
      <c r="B525" s="126">
        <f>INSUMOS!B493</f>
        <v>6200000</v>
      </c>
      <c r="C525" s="16" t="s">
        <v>232</v>
      </c>
    </row>
    <row r="526" spans="1:3" x14ac:dyDescent="0.25">
      <c r="A526" t="str">
        <f>INSUMOS!A494</f>
        <v>RF97DRS132M4</v>
      </c>
      <c r="B526" s="126">
        <f>INSUMOS!B494</f>
        <v>7800000</v>
      </c>
      <c r="C526" s="16" t="s">
        <v>232</v>
      </c>
    </row>
    <row r="527" spans="1:3" x14ac:dyDescent="0.25">
      <c r="A527" t="str">
        <f>INSUMOS!A495</f>
        <v>RF97DRS160S4</v>
      </c>
      <c r="B527" s="126">
        <f>INSUMOS!B495</f>
        <v>7900000</v>
      </c>
      <c r="C527" s="16" t="s">
        <v>232</v>
      </c>
    </row>
    <row r="528" spans="1:3" x14ac:dyDescent="0.25">
      <c r="A528" t="str">
        <f>INSUMOS!A496</f>
        <v>RF97DRS160M4</v>
      </c>
      <c r="B528" s="126">
        <f>INSUMOS!B496</f>
        <v>8220000</v>
      </c>
      <c r="C528" s="16" t="s">
        <v>232</v>
      </c>
    </row>
    <row r="529" spans="1:3" x14ac:dyDescent="0.25">
      <c r="A529" t="str">
        <f>INSUMOS!A497</f>
        <v>RF107DRS112M4</v>
      </c>
      <c r="B529" s="118">
        <f>INSUMOS!B497</f>
        <v>8520000</v>
      </c>
      <c r="C529" s="16" t="s">
        <v>232</v>
      </c>
    </row>
    <row r="530" spans="1:3" x14ac:dyDescent="0.25">
      <c r="A530" t="str">
        <f>INSUMOS!A498</f>
        <v>RF107DRS132M4</v>
      </c>
      <c r="B530" s="118">
        <f>INSUMOS!B498</f>
        <v>10420000</v>
      </c>
      <c r="C530" s="16" t="s">
        <v>232</v>
      </c>
    </row>
    <row r="531" spans="1:3" x14ac:dyDescent="0.25">
      <c r="A531" t="str">
        <f>INSUMOS!A499</f>
        <v>RF107DRS160S4</v>
      </c>
      <c r="B531" s="118">
        <f>INSUMOS!B499</f>
        <v>10550000</v>
      </c>
      <c r="C531" s="16" t="s">
        <v>232</v>
      </c>
    </row>
    <row r="532" spans="1:3" x14ac:dyDescent="0.25">
      <c r="A532" t="str">
        <f>INSUMOS!A500</f>
        <v>RF107DRS160M4</v>
      </c>
      <c r="B532" s="118">
        <f>INSUMOS!B500</f>
        <v>10860000</v>
      </c>
      <c r="C532" s="16" t="s">
        <v>232</v>
      </c>
    </row>
    <row r="533" spans="1:3" x14ac:dyDescent="0.25">
      <c r="A533" t="str">
        <f>INSUMOS!A501</f>
        <v>RF107DRS180S4</v>
      </c>
      <c r="B533" s="118">
        <f>INSUMOS!B501</f>
        <v>10300000</v>
      </c>
      <c r="C533" s="16" t="s">
        <v>232</v>
      </c>
    </row>
    <row r="534" spans="1:3" x14ac:dyDescent="0.25">
      <c r="A534" t="str">
        <f>INSUMOS!A502</f>
        <v>RF137DRS132S4</v>
      </c>
      <c r="B534" s="118">
        <f>INSUMOS!B502</f>
        <v>10770000</v>
      </c>
      <c r="C534" s="16" t="s">
        <v>232</v>
      </c>
    </row>
    <row r="535" spans="1:3" x14ac:dyDescent="0.25">
      <c r="A535" t="str">
        <f>INSUMOS!A503</f>
        <v>RF137DRS132M4</v>
      </c>
      <c r="B535" s="118">
        <f>INSUMOS!B503</f>
        <v>13500000</v>
      </c>
      <c r="C535" s="16" t="s">
        <v>232</v>
      </c>
    </row>
    <row r="536" spans="1:3" x14ac:dyDescent="0.25">
      <c r="A536" t="str">
        <f>INSUMOS!A504</f>
        <v>RF137DRS160M4</v>
      </c>
      <c r="B536" s="118">
        <f>INSUMOS!B504</f>
        <v>14000000</v>
      </c>
      <c r="C536" s="16" t="s">
        <v>232</v>
      </c>
    </row>
    <row r="537" spans="1:3" x14ac:dyDescent="0.25">
      <c r="A537" t="str">
        <f>INSUMOS!A505</f>
        <v>RF137DRS180L4</v>
      </c>
      <c r="B537" s="118">
        <f>INSUMOS!B505</f>
        <v>14545000</v>
      </c>
      <c r="C537" s="16" t="s">
        <v>232</v>
      </c>
    </row>
    <row r="538" spans="1:3" x14ac:dyDescent="0.25">
      <c r="A538" t="str">
        <f>INSUMOS!A506</f>
        <v>RF167DRS180S4</v>
      </c>
      <c r="B538" s="118">
        <f>INSUMOS!B506</f>
        <v>26550000</v>
      </c>
      <c r="C538" s="16" t="s">
        <v>232</v>
      </c>
    </row>
    <row r="539" spans="1:3" x14ac:dyDescent="0.25">
      <c r="A539" t="str">
        <f>INSUMOS!A507</f>
        <v>FAF47DRS80S4</v>
      </c>
      <c r="B539" s="126">
        <f>INSUMOS!B507</f>
        <v>2400000</v>
      </c>
      <c r="C539" s="16" t="s">
        <v>232</v>
      </c>
    </row>
    <row r="540" spans="1:3" x14ac:dyDescent="0.25">
      <c r="A540" t="str">
        <f>INSUMOS!A508</f>
        <v>FAF57DRS80S4</v>
      </c>
      <c r="B540" s="126">
        <f>INSUMOS!B508</f>
        <v>2700000</v>
      </c>
      <c r="C540" s="16" t="s">
        <v>232</v>
      </c>
    </row>
    <row r="541" spans="1:3" x14ac:dyDescent="0.25">
      <c r="A541" t="str">
        <f>INSUMOS!A509</f>
        <v>FAF67DRS132S4</v>
      </c>
      <c r="B541" s="126">
        <f>INSUMOS!B509</f>
        <v>3650000</v>
      </c>
      <c r="C541" s="16" t="s">
        <v>232</v>
      </c>
    </row>
    <row r="542" spans="1:3" x14ac:dyDescent="0.25">
      <c r="A542" t="str">
        <f>INSUMOS!A510</f>
        <v>FAF67DRS112M4</v>
      </c>
      <c r="B542" s="126">
        <f>INSUMOS!B510</f>
        <v>3360000</v>
      </c>
      <c r="C542" s="16" t="s">
        <v>232</v>
      </c>
    </row>
    <row r="543" spans="1:3" x14ac:dyDescent="0.25">
      <c r="A543" t="str">
        <f>INSUMOS!A511</f>
        <v>FAF77DRS100M4</v>
      </c>
      <c r="B543" s="126">
        <f>INSUMOS!B511</f>
        <v>4500000</v>
      </c>
      <c r="C543" s="16" t="s">
        <v>232</v>
      </c>
    </row>
    <row r="544" spans="1:3" x14ac:dyDescent="0.25">
      <c r="A544" t="str">
        <f>INSUMOS!A512</f>
        <v>FAF77DRS112M4</v>
      </c>
      <c r="B544" s="126">
        <f>INSUMOS!B512</f>
        <v>5300000</v>
      </c>
      <c r="C544" s="16" t="s">
        <v>232</v>
      </c>
    </row>
    <row r="545" spans="1:3" x14ac:dyDescent="0.25">
      <c r="A545" t="str">
        <f>INSUMOS!A513</f>
        <v>FAF87DRS132M4</v>
      </c>
      <c r="B545" s="126">
        <f>INSUMOS!B513</f>
        <v>6728000</v>
      </c>
      <c r="C545" s="16" t="s">
        <v>232</v>
      </c>
    </row>
    <row r="546" spans="1:3" x14ac:dyDescent="0.25">
      <c r="A546" t="str">
        <f>INSUMOS!A514</f>
        <v>FAF97DRS160M4</v>
      </c>
      <c r="B546" s="126">
        <f>INSUMOS!B514</f>
        <v>11860000</v>
      </c>
      <c r="C546" s="16" t="s">
        <v>232</v>
      </c>
    </row>
    <row r="547" spans="1:3" x14ac:dyDescent="0.25">
      <c r="A547" t="str">
        <f>INSUMOS!A515</f>
        <v>FAF97DRS180S4</v>
      </c>
      <c r="B547" s="126">
        <f>INSUMOS!B515</f>
        <v>13200000</v>
      </c>
      <c r="C547" s="16" t="s">
        <v>232</v>
      </c>
    </row>
    <row r="548" spans="1:3" x14ac:dyDescent="0.25">
      <c r="A548" t="str">
        <f>INSUMOS!A517</f>
        <v>FAF127DRS180L4</v>
      </c>
      <c r="B548" s="126">
        <f>INSUMOS!B517</f>
        <v>21450000</v>
      </c>
      <c r="C548" s="16" t="s">
        <v>232</v>
      </c>
    </row>
    <row r="549" spans="1:3" x14ac:dyDescent="0.25">
      <c r="A549" t="str">
        <f>INSUMOS!A518</f>
        <v>SK12-90L/4</v>
      </c>
      <c r="B549" s="118">
        <f>INSUMOS!B518</f>
        <v>1259874</v>
      </c>
      <c r="C549" s="16" t="s">
        <v>232</v>
      </c>
    </row>
    <row r="550" spans="1:3" x14ac:dyDescent="0.25">
      <c r="A550" t="str">
        <f>INSUMOS!A519</f>
        <v>SK1SMI40</v>
      </c>
      <c r="B550" s="118">
        <f>INSUMOS!B519</f>
        <v>800000</v>
      </c>
      <c r="C550" s="16" t="s">
        <v>232</v>
      </c>
    </row>
    <row r="551" spans="1:3" x14ac:dyDescent="0.25">
      <c r="A551" t="str">
        <f>INSUMOS!A520</f>
        <v>SK1SMI31</v>
      </c>
      <c r="B551" s="118">
        <f>INSUMOS!B520</f>
        <v>800000</v>
      </c>
      <c r="C551" s="16" t="s">
        <v>232</v>
      </c>
    </row>
    <row r="552" spans="1:3" x14ac:dyDescent="0.25">
      <c r="A552" t="str">
        <f>INSUMOS!A521</f>
        <v>SK1SMI50</v>
      </c>
      <c r="B552" s="118">
        <f>INSUMOS!B521</f>
        <v>950000</v>
      </c>
      <c r="C552" s="16" t="s">
        <v>232</v>
      </c>
    </row>
    <row r="553" spans="1:3" x14ac:dyDescent="0.25">
      <c r="A553" t="str">
        <f>INSUMOS!A522</f>
        <v>SK1SMI63</v>
      </c>
      <c r="B553" s="118">
        <f>INSUMOS!B522</f>
        <v>1400000</v>
      </c>
      <c r="C553" s="16" t="s">
        <v>232</v>
      </c>
    </row>
    <row r="554" spans="1:3" x14ac:dyDescent="0.25">
      <c r="A554" t="str">
        <f>INSUMOS!A523</f>
        <v>SK1SMI75</v>
      </c>
      <c r="B554" s="118">
        <f>INSUMOS!B523</f>
        <v>1800000</v>
      </c>
      <c r="C554" s="16" t="s">
        <v>232</v>
      </c>
    </row>
    <row r="555" spans="1:3" x14ac:dyDescent="0.25">
      <c r="A555" t="str">
        <f>INSUMOS!A524</f>
        <v>SK0721IEC71SK71S4</v>
      </c>
      <c r="B555" s="118">
        <f>INSUMOS!B524</f>
        <v>850000</v>
      </c>
      <c r="C555" s="16" t="s">
        <v>232</v>
      </c>
    </row>
    <row r="556" spans="1:3" x14ac:dyDescent="0.25">
      <c r="A556" t="str">
        <f>INSUMOS!A525</f>
        <v>SK1721IEC80SK80S4</v>
      </c>
      <c r="B556" s="118">
        <f>INSUMOS!B525</f>
        <v>1100000</v>
      </c>
      <c r="C556" s="16" t="s">
        <v>232</v>
      </c>
    </row>
    <row r="557" spans="1:3" x14ac:dyDescent="0.25">
      <c r="A557" t="str">
        <f>INSUMOS!A526</f>
        <v>SK5721IEC90SK90S4</v>
      </c>
      <c r="B557" s="118">
        <f>INSUMOS!B526</f>
        <v>1400000</v>
      </c>
      <c r="C557" s="16" t="s">
        <v>232</v>
      </c>
    </row>
    <row r="558" spans="1:3" x14ac:dyDescent="0.25">
      <c r="A558" t="str">
        <f>INSUMOS!A527</f>
        <v>SK5721IEC90SK90L4</v>
      </c>
      <c r="B558" s="118">
        <f>INSUMOS!B527</f>
        <v>1410000</v>
      </c>
      <c r="C558" s="16" t="s">
        <v>232</v>
      </c>
    </row>
    <row r="559" spans="1:3" x14ac:dyDescent="0.25">
      <c r="A559" t="str">
        <f>INSUMOS!A528</f>
        <v>SK3721IEC71SK71L4</v>
      </c>
      <c r="B559" s="118">
        <f>INSUMOS!B528</f>
        <v>1040000</v>
      </c>
      <c r="C559" s="16" t="s">
        <v>232</v>
      </c>
    </row>
    <row r="560" spans="1:3" x14ac:dyDescent="0.25">
      <c r="A560" t="str">
        <f>INSUMOS!A529</f>
        <v>SK7721IEC100SK100LA4</v>
      </c>
      <c r="B560" s="118">
        <f>INSUMOS!B529</f>
        <v>2260000</v>
      </c>
      <c r="C560" s="16" t="s">
        <v>232</v>
      </c>
    </row>
    <row r="561" spans="1:3" x14ac:dyDescent="0.25">
      <c r="A561" t="str">
        <f>INSUMOS!A530</f>
        <v>SK8721IEC132SK132S4</v>
      </c>
      <c r="B561" s="118">
        <f>INSUMOS!B530</f>
        <v>4900000</v>
      </c>
      <c r="C561" s="16" t="s">
        <v>232</v>
      </c>
    </row>
    <row r="562" spans="1:3" x14ac:dyDescent="0.25">
      <c r="A562" t="str">
        <f>INSUMOS!A531</f>
        <v>SF37DRS71S4</v>
      </c>
      <c r="B562" s="118">
        <f>INSUMOS!B531</f>
        <v>950000</v>
      </c>
      <c r="C562" s="16" t="s">
        <v>232</v>
      </c>
    </row>
    <row r="563" spans="1:3" x14ac:dyDescent="0.25">
      <c r="A563" t="str">
        <f>INSUMOS!A532</f>
        <v>SK2282AF VL</v>
      </c>
      <c r="B563" s="118">
        <f>INSUMOS!B532</f>
        <v>2600000</v>
      </c>
      <c r="C563" s="16" t="s">
        <v>232</v>
      </c>
    </row>
    <row r="564" spans="1:3" ht="18.75" x14ac:dyDescent="0.3">
      <c r="A564" s="280" t="s">
        <v>64</v>
      </c>
      <c r="B564" s="280"/>
      <c r="C564" s="280"/>
    </row>
    <row r="565" spans="1:3" ht="18.75" x14ac:dyDescent="0.3">
      <c r="A565" s="139" t="s">
        <v>1721</v>
      </c>
      <c r="B565" s="139" t="s">
        <v>1280</v>
      </c>
      <c r="C565" s="140" t="s">
        <v>1722</v>
      </c>
    </row>
    <row r="566" spans="1:3" x14ac:dyDescent="0.25">
      <c r="A566" t="s">
        <v>1708</v>
      </c>
      <c r="B566" s="126">
        <v>50000</v>
      </c>
      <c r="C566" s="16" t="s">
        <v>2184</v>
      </c>
    </row>
    <row r="567" spans="1:3" x14ac:dyDescent="0.25">
      <c r="A567" t="s">
        <v>1709</v>
      </c>
      <c r="B567" s="126">
        <v>80000</v>
      </c>
      <c r="C567" s="16" t="s">
        <v>2185</v>
      </c>
    </row>
    <row r="568" spans="1:3" x14ac:dyDescent="0.25">
      <c r="A568" t="s">
        <v>75</v>
      </c>
      <c r="B568" s="126">
        <f>INSUMOS!B536</f>
        <v>120000</v>
      </c>
      <c r="C568" s="16" t="s">
        <v>2186</v>
      </c>
    </row>
    <row r="569" spans="1:3" ht="18.75" x14ac:dyDescent="0.3">
      <c r="A569" s="280" t="s">
        <v>77</v>
      </c>
      <c r="B569" s="280"/>
      <c r="C569" s="280"/>
    </row>
    <row r="570" spans="1:3" ht="18.75" x14ac:dyDescent="0.3">
      <c r="A570" s="139" t="s">
        <v>1721</v>
      </c>
      <c r="B570" s="139" t="s">
        <v>1280</v>
      </c>
      <c r="C570" s="140" t="s">
        <v>1722</v>
      </c>
    </row>
    <row r="571" spans="1:3" x14ac:dyDescent="0.25">
      <c r="A571" t="s">
        <v>78</v>
      </c>
      <c r="B571" s="126">
        <v>50000</v>
      </c>
      <c r="C571" s="16" t="s">
        <v>2187</v>
      </c>
    </row>
    <row r="572" spans="1:3" ht="18.75" x14ac:dyDescent="0.3">
      <c r="A572" s="280" t="s">
        <v>2188</v>
      </c>
      <c r="B572" s="280"/>
      <c r="C572" s="280"/>
    </row>
    <row r="573" spans="1:3" ht="18.75" x14ac:dyDescent="0.3">
      <c r="A573" s="139" t="s">
        <v>1721</v>
      </c>
      <c r="B573" s="139" t="s">
        <v>1280</v>
      </c>
      <c r="C573" s="140" t="s">
        <v>1722</v>
      </c>
    </row>
    <row r="574" spans="1:3" x14ac:dyDescent="0.25">
      <c r="A574" t="str">
        <f>'V2'!A1:C1</f>
        <v>V2AB-06A137</v>
      </c>
      <c r="B574" s="126">
        <f>'V2'!B10</f>
        <v>1720000</v>
      </c>
      <c r="C574" t="s">
        <v>2189</v>
      </c>
    </row>
    <row r="575" spans="1:3" x14ac:dyDescent="0.25">
      <c r="B575" s="126"/>
    </row>
    <row r="576" spans="1:3" x14ac:dyDescent="0.25">
      <c r="B576" s="126"/>
    </row>
    <row r="577" spans="2:2" x14ac:dyDescent="0.25">
      <c r="B577" s="126"/>
    </row>
    <row r="578" spans="2:2" x14ac:dyDescent="0.25">
      <c r="B578" s="126"/>
    </row>
    <row r="579" spans="2:2" x14ac:dyDescent="0.25">
      <c r="B579" s="126"/>
    </row>
    <row r="580" spans="2:2" x14ac:dyDescent="0.25">
      <c r="B580" s="126"/>
    </row>
    <row r="581" spans="2:2" x14ac:dyDescent="0.25">
      <c r="B581" s="126"/>
    </row>
    <row r="582" spans="2:2" x14ac:dyDescent="0.25">
      <c r="B582" s="126"/>
    </row>
    <row r="583" spans="2:2" x14ac:dyDescent="0.25">
      <c r="B583" s="126"/>
    </row>
    <row r="584" spans="2:2" x14ac:dyDescent="0.25">
      <c r="B584" s="126"/>
    </row>
    <row r="585" spans="2:2" x14ac:dyDescent="0.25">
      <c r="B585" s="126"/>
    </row>
    <row r="586" spans="2:2" x14ac:dyDescent="0.25">
      <c r="B586" s="126"/>
    </row>
    <row r="587" spans="2:2" x14ac:dyDescent="0.25">
      <c r="B587" s="126"/>
    </row>
    <row r="588" spans="2:2" x14ac:dyDescent="0.25">
      <c r="B588" s="126"/>
    </row>
    <row r="589" spans="2:2" x14ac:dyDescent="0.25">
      <c r="B589" s="126"/>
    </row>
    <row r="590" spans="2:2" x14ac:dyDescent="0.25">
      <c r="B590" s="126"/>
    </row>
    <row r="591" spans="2:2" x14ac:dyDescent="0.25">
      <c r="B591" s="126"/>
    </row>
    <row r="592" spans="2:2" x14ac:dyDescent="0.25">
      <c r="B592" s="126"/>
    </row>
    <row r="593" spans="2:2" x14ac:dyDescent="0.25">
      <c r="B593" s="126"/>
    </row>
    <row r="594" spans="2:2" x14ac:dyDescent="0.25">
      <c r="B594" s="126"/>
    </row>
    <row r="595" spans="2:2" x14ac:dyDescent="0.25">
      <c r="B595" s="126"/>
    </row>
    <row r="596" spans="2:2" x14ac:dyDescent="0.25">
      <c r="B596" s="126"/>
    </row>
    <row r="597" spans="2:2" x14ac:dyDescent="0.25">
      <c r="B597" s="126"/>
    </row>
    <row r="598" spans="2:2" x14ac:dyDescent="0.25">
      <c r="B598" s="126"/>
    </row>
    <row r="599" spans="2:2" x14ac:dyDescent="0.25">
      <c r="B599" s="126"/>
    </row>
    <row r="600" spans="2:2" x14ac:dyDescent="0.25">
      <c r="B600" s="126"/>
    </row>
    <row r="601" spans="2:2" x14ac:dyDescent="0.25">
      <c r="B601" s="126"/>
    </row>
    <row r="602" spans="2:2" x14ac:dyDescent="0.25">
      <c r="B602" s="126"/>
    </row>
    <row r="603" spans="2:2" x14ac:dyDescent="0.25">
      <c r="B603" s="126"/>
    </row>
    <row r="604" spans="2:2" x14ac:dyDescent="0.25">
      <c r="B604" s="126"/>
    </row>
    <row r="605" spans="2:2" x14ac:dyDescent="0.25">
      <c r="B605" s="126"/>
    </row>
    <row r="606" spans="2:2" x14ac:dyDescent="0.25">
      <c r="B606" s="126"/>
    </row>
    <row r="607" spans="2:2" x14ac:dyDescent="0.25">
      <c r="B607" s="126"/>
    </row>
    <row r="608" spans="2:2" x14ac:dyDescent="0.25">
      <c r="B608" s="126"/>
    </row>
    <row r="609" spans="1:2" x14ac:dyDescent="0.25">
      <c r="A609" t="s">
        <v>79</v>
      </c>
      <c r="B609" s="126"/>
    </row>
    <row r="610" spans="1:2" x14ac:dyDescent="0.25">
      <c r="A610" t="s">
        <v>2190</v>
      </c>
      <c r="B610" s="126"/>
    </row>
    <row r="611" spans="1:2" x14ac:dyDescent="0.25">
      <c r="A611" t="s">
        <v>69</v>
      </c>
      <c r="B611" s="126"/>
    </row>
    <row r="612" spans="1:2" x14ac:dyDescent="0.25">
      <c r="A612" t="s">
        <v>2191</v>
      </c>
      <c r="B612" s="126"/>
    </row>
    <row r="613" spans="1:2" x14ac:dyDescent="0.25">
      <c r="A613" t="s">
        <v>67</v>
      </c>
      <c r="B613" s="126"/>
    </row>
    <row r="614" spans="1:2" x14ac:dyDescent="0.25">
      <c r="A614" t="s">
        <v>66</v>
      </c>
      <c r="B614" s="126"/>
    </row>
    <row r="615" spans="1:2" x14ac:dyDescent="0.25">
      <c r="A615" t="s">
        <v>72</v>
      </c>
      <c r="B615" s="126"/>
    </row>
    <row r="616" spans="1:2" x14ac:dyDescent="0.25">
      <c r="A616" t="s">
        <v>64</v>
      </c>
      <c r="B616" s="126"/>
    </row>
    <row r="617" spans="1:2" x14ac:dyDescent="0.25">
      <c r="A617" t="s">
        <v>2192</v>
      </c>
      <c r="B617" s="126"/>
    </row>
    <row r="618" spans="1:2" x14ac:dyDescent="0.25">
      <c r="A618" t="s">
        <v>77</v>
      </c>
      <c r="B618" s="126"/>
    </row>
    <row r="619" spans="1:2" x14ac:dyDescent="0.25">
      <c r="A619" t="s">
        <v>74</v>
      </c>
      <c r="B619" s="126"/>
    </row>
    <row r="620" spans="1:2" x14ac:dyDescent="0.25">
      <c r="A620" t="s">
        <v>2193</v>
      </c>
      <c r="B620" s="126"/>
    </row>
  </sheetData>
  <mergeCells count="10">
    <mergeCell ref="A435:C435"/>
    <mergeCell ref="A455:C455"/>
    <mergeCell ref="A564:C564"/>
    <mergeCell ref="A569:C569"/>
    <mergeCell ref="A572:C572"/>
    <mergeCell ref="A1:C1"/>
    <mergeCell ref="A237:C237"/>
    <mergeCell ref="A264:C264"/>
    <mergeCell ref="A323:C323"/>
    <mergeCell ref="A377:C377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8"/>
  <sheetViews>
    <sheetView topLeftCell="A112" zoomScaleNormal="100" workbookViewId="0">
      <selection activeCell="G28" sqref="A28:G28"/>
    </sheetView>
  </sheetViews>
  <sheetFormatPr baseColWidth="10" defaultColWidth="9.140625" defaultRowHeight="15" x14ac:dyDescent="0.25"/>
  <cols>
    <col min="1" max="1" width="42.42578125" customWidth="1"/>
    <col min="2" max="2" width="10.5703125" customWidth="1"/>
    <col min="3" max="3" width="24.42578125" customWidth="1"/>
    <col min="4" max="4" width="20.42578125" customWidth="1"/>
    <col min="5" max="7" width="10.5703125" customWidth="1"/>
    <col min="8" max="8" width="58.42578125" customWidth="1"/>
    <col min="9" max="9" width="11.85546875" customWidth="1"/>
    <col min="10" max="10" width="10.5703125" customWidth="1"/>
    <col min="11" max="11" width="13.28515625" customWidth="1"/>
    <col min="12" max="12" width="11.85546875" customWidth="1"/>
    <col min="13" max="13" width="22.28515625" customWidth="1"/>
    <col min="14" max="30" width="10.5703125" customWidth="1"/>
    <col min="31" max="31" width="17.140625" customWidth="1"/>
    <col min="32" max="1025" width="10.5703125" customWidth="1"/>
  </cols>
  <sheetData>
    <row r="1" spans="1:24" ht="16.5" customHeight="1" x14ac:dyDescent="0.25">
      <c r="A1" s="281" t="s">
        <v>2194</v>
      </c>
      <c r="B1" s="281"/>
      <c r="C1" s="282" t="s">
        <v>2195</v>
      </c>
      <c r="D1" s="282"/>
      <c r="E1" s="283" t="s">
        <v>2196</v>
      </c>
      <c r="F1" s="283"/>
      <c r="G1" s="283" t="s">
        <v>2197</v>
      </c>
      <c r="H1" s="283"/>
      <c r="I1" s="283" t="s">
        <v>2198</v>
      </c>
      <c r="J1" s="283"/>
      <c r="K1" s="284" t="s">
        <v>51</v>
      </c>
      <c r="L1" s="284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5.75" x14ac:dyDescent="0.25">
      <c r="A2" s="143"/>
      <c r="B2" s="144"/>
      <c r="C2" s="145" t="s">
        <v>9</v>
      </c>
      <c r="D2" s="146" t="s">
        <v>2199</v>
      </c>
      <c r="E2" s="147" t="s">
        <v>2200</v>
      </c>
      <c r="F2" s="147" t="s">
        <v>2201</v>
      </c>
      <c r="G2" s="285" t="s">
        <v>2202</v>
      </c>
      <c r="H2" s="285"/>
      <c r="I2" s="148" t="s">
        <v>2203</v>
      </c>
      <c r="J2" s="149" t="s">
        <v>2201</v>
      </c>
      <c r="K2" s="147" t="s">
        <v>2204</v>
      </c>
      <c r="L2" s="150" t="s">
        <v>2205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15.75" x14ac:dyDescent="0.25">
      <c r="A3" s="143"/>
      <c r="B3" s="144"/>
      <c r="C3" s="145" t="s">
        <v>2206</v>
      </c>
      <c r="D3" s="146" t="s">
        <v>2207</v>
      </c>
      <c r="E3" s="145" t="s">
        <v>2208</v>
      </c>
      <c r="F3" s="145" t="s">
        <v>2199</v>
      </c>
      <c r="G3" s="286" t="s">
        <v>2209</v>
      </c>
      <c r="H3" s="286"/>
      <c r="I3" s="151" t="s">
        <v>2210</v>
      </c>
      <c r="J3" s="152" t="s">
        <v>2199</v>
      </c>
      <c r="K3" s="145" t="s">
        <v>12</v>
      </c>
      <c r="L3" s="146" t="s">
        <v>2211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15.75" x14ac:dyDescent="0.25">
      <c r="A4" s="144"/>
      <c r="B4" s="144"/>
      <c r="C4" s="144"/>
      <c r="D4" s="144"/>
      <c r="E4" s="145" t="s">
        <v>10</v>
      </c>
      <c r="F4" s="145" t="s">
        <v>2212</v>
      </c>
      <c r="G4" s="143"/>
      <c r="H4" s="144"/>
      <c r="I4" s="151" t="s">
        <v>2213</v>
      </c>
      <c r="J4" s="152" t="s">
        <v>2212</v>
      </c>
      <c r="K4" s="145" t="s">
        <v>2214</v>
      </c>
      <c r="L4" s="14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5.75" x14ac:dyDescent="0.25">
      <c r="A5" s="147"/>
      <c r="C5" s="144"/>
      <c r="D5" s="143"/>
      <c r="E5" s="145" t="s">
        <v>2215</v>
      </c>
      <c r="F5" s="145" t="s">
        <v>2207</v>
      </c>
      <c r="G5" s="16"/>
      <c r="H5" s="16"/>
      <c r="I5" s="151" t="s">
        <v>2216</v>
      </c>
      <c r="J5" s="152" t="s">
        <v>2207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5.75" x14ac:dyDescent="0.25">
      <c r="A6" s="16"/>
      <c r="C6" s="144"/>
      <c r="D6" s="143"/>
      <c r="E6" s="16"/>
      <c r="F6" s="16"/>
      <c r="G6" s="16"/>
      <c r="H6" s="16"/>
      <c r="I6" s="151" t="s">
        <v>2217</v>
      </c>
      <c r="J6" s="152" t="s">
        <v>2218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5.75" x14ac:dyDescent="0.25">
      <c r="A7" s="16"/>
      <c r="B7" s="16"/>
      <c r="C7" s="16"/>
      <c r="D7" s="16"/>
      <c r="E7" s="16"/>
      <c r="F7" s="16"/>
      <c r="G7" s="16"/>
      <c r="H7" s="16"/>
      <c r="I7" s="151" t="s">
        <v>2219</v>
      </c>
      <c r="J7" s="152" t="s">
        <v>2220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5.75" x14ac:dyDescent="0.25">
      <c r="A8" s="16"/>
      <c r="B8" s="16"/>
      <c r="C8" s="16"/>
      <c r="D8" s="16"/>
      <c r="E8" s="16"/>
      <c r="F8" s="16"/>
      <c r="G8" s="16"/>
      <c r="H8" s="16"/>
      <c r="I8" s="151" t="s">
        <v>2221</v>
      </c>
      <c r="J8" s="152" t="s">
        <v>2222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ht="15.75" x14ac:dyDescent="0.25">
      <c r="A9" s="16"/>
      <c r="B9" s="16"/>
      <c r="C9" s="16"/>
      <c r="D9" s="16"/>
      <c r="E9" s="16"/>
      <c r="F9" s="16"/>
      <c r="G9" s="16"/>
      <c r="H9" s="16"/>
      <c r="I9" s="151" t="s">
        <v>2223</v>
      </c>
      <c r="J9" s="152" t="s">
        <v>2224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ht="15.75" x14ac:dyDescent="0.25">
      <c r="A10" s="16"/>
      <c r="B10" s="16"/>
      <c r="C10" s="16"/>
      <c r="D10" s="16"/>
      <c r="E10" s="16" t="s">
        <v>2225</v>
      </c>
      <c r="G10" s="16"/>
      <c r="H10" s="16"/>
      <c r="I10" s="151" t="s">
        <v>11</v>
      </c>
      <c r="J10" s="152" t="s">
        <v>2226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ht="15.75" x14ac:dyDescent="0.25">
      <c r="A11" s="16"/>
      <c r="B11" s="16"/>
      <c r="C11" s="16"/>
      <c r="D11" s="16"/>
      <c r="E11" s="16"/>
      <c r="F11" s="16"/>
      <c r="G11" s="16"/>
      <c r="H11" s="16"/>
      <c r="I11" s="151" t="s">
        <v>2227</v>
      </c>
      <c r="J11" s="152" t="s">
        <v>2228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5.75" x14ac:dyDescent="0.25">
      <c r="A12" s="16"/>
      <c r="B12" s="16"/>
      <c r="C12" s="16"/>
      <c r="D12" s="16"/>
      <c r="E12" s="16"/>
      <c r="F12" s="16"/>
      <c r="G12" s="16"/>
      <c r="H12" s="16"/>
      <c r="I12" s="151" t="s">
        <v>2229</v>
      </c>
      <c r="J12" s="152" t="s">
        <v>2230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ht="15.75" x14ac:dyDescent="0.25">
      <c r="A13" s="16"/>
      <c r="B13" s="16"/>
      <c r="C13" s="16"/>
      <c r="D13" s="16"/>
      <c r="E13" s="16"/>
      <c r="F13" s="16"/>
      <c r="G13" s="16"/>
      <c r="H13" s="16"/>
      <c r="I13" s="151" t="s">
        <v>2231</v>
      </c>
      <c r="J13" s="152" t="s">
        <v>2232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15.75" x14ac:dyDescent="0.25">
      <c r="I14" s="151" t="s">
        <v>2233</v>
      </c>
      <c r="J14" s="152" t="s">
        <v>2234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28.5" x14ac:dyDescent="0.45">
      <c r="A15" s="153" t="s">
        <v>2235</v>
      </c>
      <c r="B15" s="154" t="s">
        <v>232</v>
      </c>
      <c r="C15" s="155" t="s">
        <v>2236</v>
      </c>
      <c r="D15" s="154" t="s">
        <v>232</v>
      </c>
      <c r="E15" s="154" t="s">
        <v>2237</v>
      </c>
      <c r="F15" s="154" t="s">
        <v>232</v>
      </c>
      <c r="G15" s="287" t="s">
        <v>2211</v>
      </c>
      <c r="H15" s="28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8.5" x14ac:dyDescent="0.45">
      <c r="A18" s="156"/>
      <c r="B18" t="s">
        <v>1983</v>
      </c>
      <c r="C18" s="156"/>
      <c r="D18" s="157"/>
      <c r="E18" s="157"/>
      <c r="F18" s="288" t="s">
        <v>2238</v>
      </c>
      <c r="G18" s="288"/>
      <c r="H18" s="288"/>
    </row>
    <row r="19" spans="1:24" x14ac:dyDescent="0.25">
      <c r="A19" s="16"/>
      <c r="B19" s="16"/>
      <c r="C19" s="16"/>
      <c r="D19" s="16"/>
      <c r="E19" s="16"/>
      <c r="F19" s="289" t="s">
        <v>2239</v>
      </c>
      <c r="G19" s="289"/>
      <c r="H19" s="289"/>
    </row>
    <row r="20" spans="1:24" ht="18.75" x14ac:dyDescent="0.3">
      <c r="A20" s="160" t="s">
        <v>2195</v>
      </c>
      <c r="B20" s="290" t="s">
        <v>232</v>
      </c>
      <c r="C20" s="161" t="s">
        <v>38</v>
      </c>
      <c r="D20" s="162"/>
      <c r="E20" s="161" t="s">
        <v>38</v>
      </c>
      <c r="F20" s="162"/>
      <c r="G20" s="291" t="s">
        <v>51</v>
      </c>
      <c r="H20" s="291"/>
    </row>
    <row r="21" spans="1:24" ht="28.5" x14ac:dyDescent="0.45">
      <c r="A21" s="163"/>
      <c r="B21" s="290"/>
      <c r="C21" s="164" t="s">
        <v>2240</v>
      </c>
      <c r="D21" s="165" t="s">
        <v>232</v>
      </c>
      <c r="E21" s="164" t="s">
        <v>2194</v>
      </c>
      <c r="F21" s="165" t="s">
        <v>232</v>
      </c>
      <c r="G21" s="291"/>
      <c r="H21" s="291"/>
    </row>
    <row r="22" spans="1:24" ht="18.75" x14ac:dyDescent="0.3">
      <c r="A22" s="166" t="s">
        <v>9</v>
      </c>
      <c r="B22" s="290"/>
      <c r="C22" s="167" t="s">
        <v>2241</v>
      </c>
      <c r="D22" s="168"/>
      <c r="E22" s="167" t="s">
        <v>64</v>
      </c>
      <c r="F22" s="168"/>
      <c r="G22" s="291"/>
      <c r="H22" s="291"/>
    </row>
    <row r="23" spans="1:24" x14ac:dyDescent="0.25">
      <c r="A23" s="16"/>
      <c r="B23" s="16"/>
      <c r="C23" s="44" t="s">
        <v>2242</v>
      </c>
      <c r="D23" s="16"/>
      <c r="E23" s="169" t="s">
        <v>2243</v>
      </c>
      <c r="F23" s="16"/>
      <c r="G23" s="170" t="s">
        <v>2244</v>
      </c>
      <c r="H23" s="44" t="s">
        <v>2245</v>
      </c>
    </row>
    <row r="24" spans="1:24" ht="15.75" x14ac:dyDescent="0.25">
      <c r="A24" s="16"/>
      <c r="B24" s="16" t="s">
        <v>19</v>
      </c>
      <c r="C24" s="16">
        <v>2</v>
      </c>
      <c r="D24" s="16"/>
      <c r="E24" s="16">
        <v>14</v>
      </c>
      <c r="F24" s="123" t="s">
        <v>2246</v>
      </c>
      <c r="G24" s="171" t="s">
        <v>2211</v>
      </c>
      <c r="H24" s="172" t="s">
        <v>20</v>
      </c>
    </row>
    <row r="25" spans="1:24" ht="15.75" x14ac:dyDescent="0.25">
      <c r="A25" s="16"/>
      <c r="B25" s="16" t="s">
        <v>1245</v>
      </c>
      <c r="C25" s="123" t="s">
        <v>2236</v>
      </c>
      <c r="D25" s="16"/>
      <c r="E25" s="16">
        <v>18</v>
      </c>
      <c r="F25" s="123" t="s">
        <v>2247</v>
      </c>
      <c r="G25" s="171" t="s">
        <v>2205</v>
      </c>
      <c r="H25" s="173" t="s">
        <v>2248</v>
      </c>
    </row>
    <row r="26" spans="1:24" ht="18" customHeight="1" x14ac:dyDescent="0.25">
      <c r="A26" s="16"/>
      <c r="B26" t="s">
        <v>1246</v>
      </c>
      <c r="C26">
        <v>3</v>
      </c>
      <c r="D26" s="16"/>
      <c r="E26" s="16">
        <v>20</v>
      </c>
      <c r="F26" s="123" t="s">
        <v>2249</v>
      </c>
      <c r="G26" s="171" t="s">
        <v>2250</v>
      </c>
      <c r="H26" s="173" t="s">
        <v>2251</v>
      </c>
      <c r="P26" s="16">
        <v>20</v>
      </c>
      <c r="Q26" s="123">
        <v>20</v>
      </c>
    </row>
    <row r="27" spans="1:24" x14ac:dyDescent="0.25">
      <c r="B27" t="s">
        <v>16</v>
      </c>
      <c r="C27">
        <v>4</v>
      </c>
      <c r="E27" s="16">
        <v>25</v>
      </c>
      <c r="F27" s="137" t="s">
        <v>2252</v>
      </c>
      <c r="P27" s="16">
        <v>25</v>
      </c>
      <c r="Q27" s="137">
        <v>25</v>
      </c>
    </row>
    <row r="28" spans="1:24" x14ac:dyDescent="0.25">
      <c r="B28" s="16" t="s">
        <v>1248</v>
      </c>
      <c r="C28">
        <v>6</v>
      </c>
      <c r="E28" s="16">
        <v>30</v>
      </c>
      <c r="F28" s="137" t="s">
        <v>2253</v>
      </c>
      <c r="P28" s="16">
        <v>30</v>
      </c>
      <c r="Q28" s="137">
        <v>30</v>
      </c>
    </row>
    <row r="29" spans="1:24" x14ac:dyDescent="0.25">
      <c r="B29" s="16" t="s">
        <v>1250</v>
      </c>
      <c r="C29">
        <v>8</v>
      </c>
      <c r="E29" s="16">
        <v>35</v>
      </c>
      <c r="F29" s="137" t="s">
        <v>2237</v>
      </c>
      <c r="P29" s="16">
        <v>35</v>
      </c>
      <c r="Q29" s="137">
        <v>35</v>
      </c>
    </row>
    <row r="30" spans="1:24" x14ac:dyDescent="0.25">
      <c r="E30" s="16">
        <v>40</v>
      </c>
      <c r="F30" s="137" t="s">
        <v>2254</v>
      </c>
      <c r="P30" s="16">
        <v>40</v>
      </c>
      <c r="Q30" s="137">
        <v>40</v>
      </c>
    </row>
    <row r="31" spans="1:24" x14ac:dyDescent="0.25">
      <c r="E31" s="16">
        <v>50</v>
      </c>
      <c r="F31" s="137" t="s">
        <v>2255</v>
      </c>
      <c r="P31" s="16">
        <v>50</v>
      </c>
      <c r="Q31" s="137">
        <v>50</v>
      </c>
    </row>
    <row r="32" spans="1:24" x14ac:dyDescent="0.25">
      <c r="E32" s="16">
        <v>60</v>
      </c>
      <c r="F32" s="137" t="s">
        <v>2256</v>
      </c>
      <c r="P32" s="16">
        <v>60</v>
      </c>
      <c r="Q32" s="137">
        <v>60</v>
      </c>
    </row>
    <row r="33" spans="1:17" x14ac:dyDescent="0.25">
      <c r="E33" s="16">
        <v>70</v>
      </c>
      <c r="F33" s="137" t="s">
        <v>2257</v>
      </c>
      <c r="P33" s="16">
        <v>70</v>
      </c>
      <c r="Q33" s="137">
        <v>70</v>
      </c>
    </row>
    <row r="34" spans="1:17" x14ac:dyDescent="0.25">
      <c r="E34" s="16">
        <v>80</v>
      </c>
      <c r="F34" s="137" t="s">
        <v>2258</v>
      </c>
      <c r="P34" s="16">
        <v>80</v>
      </c>
      <c r="Q34" s="137">
        <v>80</v>
      </c>
    </row>
    <row r="35" spans="1:17" ht="31.5" x14ac:dyDescent="0.25">
      <c r="A35" s="174"/>
      <c r="B35" s="174"/>
      <c r="C35" s="174"/>
      <c r="D35" s="174"/>
      <c r="E35" s="16">
        <v>90</v>
      </c>
      <c r="F35" s="123" t="s">
        <v>2259</v>
      </c>
      <c r="G35" s="174"/>
      <c r="H35" s="174"/>
      <c r="I35" s="174"/>
      <c r="J35" s="174"/>
      <c r="K35" s="174"/>
      <c r="L35" s="174"/>
      <c r="M35" s="174"/>
      <c r="P35" s="16">
        <v>90</v>
      </c>
      <c r="Q35" s="123">
        <v>90</v>
      </c>
    </row>
    <row r="36" spans="1:17" ht="31.5" x14ac:dyDescent="0.25">
      <c r="A36" s="174"/>
      <c r="B36" s="174"/>
      <c r="C36" s="174"/>
      <c r="D36" s="174"/>
      <c r="E36" s="16">
        <v>100</v>
      </c>
      <c r="F36" s="123">
        <v>100</v>
      </c>
      <c r="G36" s="174"/>
      <c r="H36" s="174"/>
      <c r="I36" s="174"/>
      <c r="J36" s="174"/>
      <c r="K36" s="288" t="s">
        <v>2260</v>
      </c>
      <c r="L36" s="288"/>
      <c r="M36" s="288"/>
      <c r="P36" s="16">
        <v>100</v>
      </c>
      <c r="Q36" s="123">
        <v>100</v>
      </c>
    </row>
    <row r="37" spans="1:17" ht="31.5" x14ac:dyDescent="0.25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5"/>
      <c r="L37" s="175"/>
      <c r="M37" s="175"/>
    </row>
    <row r="38" spans="1:17" x14ac:dyDescent="0.25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292" t="s">
        <v>2239</v>
      </c>
      <c r="L38" s="292"/>
      <c r="M38" s="292"/>
    </row>
    <row r="39" spans="1:17" ht="32.25" customHeight="1" x14ac:dyDescent="0.25">
      <c r="A39" s="293" t="s">
        <v>2261</v>
      </c>
      <c r="B39" s="293"/>
      <c r="C39" s="177" t="s">
        <v>232</v>
      </c>
      <c r="D39" s="294" t="s">
        <v>2262</v>
      </c>
      <c r="E39" s="294"/>
      <c r="F39" s="294"/>
      <c r="G39" s="295" t="s">
        <v>2263</v>
      </c>
      <c r="H39" s="295"/>
      <c r="I39" s="294" t="s">
        <v>2264</v>
      </c>
      <c r="J39" s="294"/>
      <c r="K39" s="293" t="s">
        <v>51</v>
      </c>
      <c r="L39" s="293"/>
      <c r="M39" s="293"/>
    </row>
    <row r="40" spans="1:17" ht="15.75" x14ac:dyDescent="0.25">
      <c r="A40" s="178" t="s">
        <v>2265</v>
      </c>
      <c r="B40" s="179">
        <v>1</v>
      </c>
      <c r="D40" s="148">
        <v>160</v>
      </c>
      <c r="E40" s="180" t="s">
        <v>2201</v>
      </c>
      <c r="F40" s="148" t="s">
        <v>2209</v>
      </c>
      <c r="G40" s="148" t="s">
        <v>2203</v>
      </c>
      <c r="H40" s="149" t="s">
        <v>2201</v>
      </c>
      <c r="I40" s="147" t="s">
        <v>2266</v>
      </c>
      <c r="J40" s="181" t="s">
        <v>2228</v>
      </c>
      <c r="L40" s="182" t="s">
        <v>2267</v>
      </c>
      <c r="M40" s="145" t="s">
        <v>2204</v>
      </c>
      <c r="N40" s="183" t="s">
        <v>2205</v>
      </c>
    </row>
    <row r="41" spans="1:17" ht="15.75" x14ac:dyDescent="0.25">
      <c r="A41" s="184" t="s">
        <v>2268</v>
      </c>
      <c r="B41" s="185">
        <v>2</v>
      </c>
      <c r="D41" s="151">
        <v>200</v>
      </c>
      <c r="E41" s="183" t="s">
        <v>2199</v>
      </c>
      <c r="F41" s="151" t="s">
        <v>2209</v>
      </c>
      <c r="G41" s="151" t="s">
        <v>2210</v>
      </c>
      <c r="H41" s="152" t="s">
        <v>2199</v>
      </c>
      <c r="I41" s="145" t="s">
        <v>28</v>
      </c>
      <c r="J41" s="186" t="s">
        <v>2212</v>
      </c>
      <c r="L41" s="187" t="s">
        <v>2269</v>
      </c>
      <c r="M41" s="145" t="s">
        <v>29</v>
      </c>
      <c r="N41" s="183" t="s">
        <v>2211</v>
      </c>
    </row>
    <row r="42" spans="1:17" ht="15.75" x14ac:dyDescent="0.25">
      <c r="A42" s="184" t="s">
        <v>27</v>
      </c>
      <c r="B42" s="185">
        <v>3</v>
      </c>
      <c r="D42" s="151">
        <v>300</v>
      </c>
      <c r="E42" s="183" t="s">
        <v>2212</v>
      </c>
      <c r="F42" s="151" t="s">
        <v>2209</v>
      </c>
      <c r="G42" s="151" t="s">
        <v>2213</v>
      </c>
      <c r="H42" s="152" t="s">
        <v>2212</v>
      </c>
      <c r="I42" s="145" t="s">
        <v>2270</v>
      </c>
      <c r="J42" s="186" t="s">
        <v>2211</v>
      </c>
      <c r="K42" s="144"/>
      <c r="L42" s="143"/>
      <c r="M42" s="145" t="s">
        <v>2271</v>
      </c>
      <c r="N42" s="188"/>
      <c r="O42" s="188"/>
    </row>
    <row r="43" spans="1:17" ht="15.75" x14ac:dyDescent="0.25">
      <c r="A43" s="184" t="s">
        <v>2272</v>
      </c>
      <c r="B43" s="185">
        <v>4</v>
      </c>
      <c r="D43" s="151">
        <v>350</v>
      </c>
      <c r="E43" s="183" t="s">
        <v>2207</v>
      </c>
      <c r="F43" s="151" t="s">
        <v>2209</v>
      </c>
      <c r="G43" s="151" t="s">
        <v>2216</v>
      </c>
      <c r="H43" s="152" t="s">
        <v>2207</v>
      </c>
      <c r="J43" s="144"/>
      <c r="K43" s="144"/>
      <c r="L43" s="144"/>
      <c r="M43" s="144"/>
    </row>
    <row r="44" spans="1:17" ht="15.75" x14ac:dyDescent="0.25">
      <c r="A44" s="184" t="s">
        <v>2273</v>
      </c>
      <c r="B44" s="185">
        <v>5</v>
      </c>
      <c r="D44" s="151">
        <v>400</v>
      </c>
      <c r="E44" s="183" t="s">
        <v>2218</v>
      </c>
      <c r="F44" s="151" t="s">
        <v>2209</v>
      </c>
      <c r="G44" s="151" t="s">
        <v>2217</v>
      </c>
      <c r="H44" s="152" t="s">
        <v>2218</v>
      </c>
      <c r="J44" s="144"/>
      <c r="K44" s="144"/>
      <c r="L44" s="144"/>
      <c r="M44" s="144"/>
    </row>
    <row r="45" spans="1:17" ht="15.75" x14ac:dyDescent="0.25">
      <c r="A45" s="184" t="s">
        <v>2274</v>
      </c>
      <c r="B45" s="185">
        <v>6</v>
      </c>
      <c r="D45" s="151">
        <v>420</v>
      </c>
      <c r="E45" s="183" t="s">
        <v>2220</v>
      </c>
      <c r="F45" s="151" t="s">
        <v>2209</v>
      </c>
      <c r="G45" s="151" t="s">
        <v>2219</v>
      </c>
      <c r="H45" s="152" t="s">
        <v>2220</v>
      </c>
      <c r="J45" s="144"/>
      <c r="K45" s="144"/>
      <c r="L45" s="144"/>
      <c r="M45" s="144"/>
    </row>
    <row r="46" spans="1:17" ht="15.75" x14ac:dyDescent="0.25">
      <c r="A46" s="184" t="s">
        <v>2275</v>
      </c>
      <c r="B46" s="185">
        <v>7</v>
      </c>
      <c r="D46" s="151">
        <v>500</v>
      </c>
      <c r="E46" s="183" t="s">
        <v>2222</v>
      </c>
      <c r="F46" s="151" t="s">
        <v>2209</v>
      </c>
      <c r="G46" s="151" t="s">
        <v>2221</v>
      </c>
      <c r="H46" s="152" t="s">
        <v>2222</v>
      </c>
      <c r="I46" s="144"/>
      <c r="J46" s="144"/>
      <c r="K46" s="144"/>
      <c r="L46" s="144"/>
      <c r="M46" s="144"/>
    </row>
    <row r="47" spans="1:17" ht="15.75" x14ac:dyDescent="0.25">
      <c r="A47" s="184" t="s">
        <v>2276</v>
      </c>
      <c r="B47" s="185">
        <v>8</v>
      </c>
      <c r="D47" s="151">
        <v>550</v>
      </c>
      <c r="E47" s="183" t="s">
        <v>2224</v>
      </c>
      <c r="F47" s="151" t="s">
        <v>2209</v>
      </c>
      <c r="G47" s="151" t="s">
        <v>2223</v>
      </c>
      <c r="H47" s="152" t="s">
        <v>2224</v>
      </c>
      <c r="I47" s="144"/>
      <c r="J47" s="144"/>
      <c r="K47" s="144"/>
      <c r="L47" s="144"/>
      <c r="M47" s="144"/>
    </row>
    <row r="48" spans="1:17" ht="15.75" x14ac:dyDescent="0.25">
      <c r="A48" s="184" t="s">
        <v>2277</v>
      </c>
      <c r="B48" s="185">
        <v>9</v>
      </c>
      <c r="D48" s="151">
        <v>600</v>
      </c>
      <c r="E48" s="183" t="s">
        <v>2226</v>
      </c>
      <c r="F48" s="151" t="s">
        <v>2209</v>
      </c>
      <c r="G48" s="151" t="s">
        <v>11</v>
      </c>
      <c r="H48" s="152" t="s">
        <v>2226</v>
      </c>
      <c r="I48" s="144"/>
      <c r="J48" s="144"/>
      <c r="K48" s="144"/>
      <c r="L48" s="144"/>
      <c r="M48" s="144"/>
    </row>
    <row r="49" spans="1:13" ht="15.75" x14ac:dyDescent="0.25">
      <c r="A49" s="184" t="s">
        <v>2278</v>
      </c>
      <c r="B49" s="185">
        <v>0</v>
      </c>
      <c r="D49" s="151">
        <v>700</v>
      </c>
      <c r="E49" s="183" t="s">
        <v>2230</v>
      </c>
      <c r="F49" s="151" t="s">
        <v>2209</v>
      </c>
      <c r="G49" s="151" t="s">
        <v>2227</v>
      </c>
      <c r="H49" s="152" t="s">
        <v>2228</v>
      </c>
      <c r="I49" s="144"/>
      <c r="J49" s="144"/>
      <c r="K49" s="144"/>
      <c r="L49" s="144"/>
      <c r="M49" s="144"/>
    </row>
    <row r="50" spans="1:13" ht="15.75" x14ac:dyDescent="0.25">
      <c r="B50" s="144"/>
      <c r="D50" s="151">
        <v>800</v>
      </c>
      <c r="E50" s="183" t="s">
        <v>2232</v>
      </c>
      <c r="F50" s="151" t="s">
        <v>2209</v>
      </c>
      <c r="G50" s="151" t="s">
        <v>2229</v>
      </c>
      <c r="H50" s="152" t="s">
        <v>2230</v>
      </c>
      <c r="I50" s="144"/>
      <c r="J50" s="144"/>
      <c r="K50" s="144"/>
      <c r="L50" s="144"/>
      <c r="M50" s="144"/>
    </row>
    <row r="51" spans="1:13" ht="15.75" x14ac:dyDescent="0.25">
      <c r="B51" s="144"/>
      <c r="D51" s="189">
        <v>900</v>
      </c>
      <c r="E51" s="190" t="s">
        <v>2279</v>
      </c>
      <c r="F51" s="189" t="s">
        <v>2209</v>
      </c>
      <c r="G51" s="151" t="s">
        <v>2231</v>
      </c>
      <c r="H51" s="152" t="s">
        <v>2232</v>
      </c>
      <c r="I51" s="144"/>
      <c r="J51" s="144"/>
      <c r="K51" s="16"/>
      <c r="L51" s="16"/>
      <c r="M51" s="16"/>
    </row>
    <row r="52" spans="1:13" ht="15.75" x14ac:dyDescent="0.25">
      <c r="B52" s="144"/>
      <c r="D52" s="151">
        <v>1000</v>
      </c>
      <c r="E52" s="183" t="s">
        <v>2234</v>
      </c>
      <c r="F52" s="151" t="s">
        <v>2209</v>
      </c>
      <c r="G52" s="151" t="s">
        <v>2233</v>
      </c>
      <c r="H52" s="152" t="s">
        <v>2234</v>
      </c>
      <c r="I52" s="144"/>
      <c r="J52" s="144"/>
      <c r="K52" s="16"/>
      <c r="L52" s="16"/>
      <c r="M52" s="16"/>
    </row>
    <row r="53" spans="1:13" ht="15.75" x14ac:dyDescent="0.25">
      <c r="B53" s="16"/>
      <c r="D53" s="189">
        <v>3600</v>
      </c>
      <c r="E53" s="190" t="s">
        <v>2280</v>
      </c>
      <c r="F53" s="151" t="s">
        <v>2209</v>
      </c>
      <c r="H53" s="16"/>
      <c r="I53" s="16"/>
      <c r="J53" s="16"/>
      <c r="K53" s="16"/>
      <c r="L53" s="16"/>
      <c r="M53" s="16"/>
    </row>
    <row r="54" spans="1:13" ht="15.75" x14ac:dyDescent="0.25">
      <c r="B54" s="16"/>
      <c r="D54" s="151">
        <v>1200</v>
      </c>
      <c r="E54" s="183" t="s">
        <v>2228</v>
      </c>
      <c r="F54" s="151" t="s">
        <v>2209</v>
      </c>
      <c r="H54" s="16"/>
      <c r="I54" s="16"/>
      <c r="J54" s="16"/>
      <c r="K54" s="16"/>
      <c r="L54" s="16"/>
      <c r="M54" s="16"/>
    </row>
    <row r="55" spans="1:13" ht="15.75" x14ac:dyDescent="0.25">
      <c r="B55" s="16"/>
      <c r="D55" s="151">
        <v>1500</v>
      </c>
      <c r="E55" s="183" t="s">
        <v>2281</v>
      </c>
      <c r="F55" s="151" t="s">
        <v>2209</v>
      </c>
      <c r="H55" s="16"/>
      <c r="I55" s="16"/>
      <c r="J55" s="16"/>
      <c r="K55" s="16"/>
      <c r="L55" s="16"/>
      <c r="M55" s="16"/>
    </row>
    <row r="56" spans="1:13" ht="15.75" x14ac:dyDescent="0.25">
      <c r="B56" s="16"/>
      <c r="D56" s="151">
        <v>1800</v>
      </c>
      <c r="E56" s="183" t="s">
        <v>2282</v>
      </c>
      <c r="F56" s="151" t="s">
        <v>2209</v>
      </c>
      <c r="H56" s="16"/>
      <c r="I56" s="16"/>
      <c r="J56" s="16"/>
      <c r="K56" s="16"/>
      <c r="L56" s="16"/>
      <c r="M56" s="16"/>
    </row>
    <row r="57" spans="1:13" ht="15.75" x14ac:dyDescent="0.25">
      <c r="B57" s="16"/>
      <c r="D57" s="151">
        <v>1900</v>
      </c>
      <c r="E57" s="183" t="s">
        <v>2244</v>
      </c>
      <c r="F57" s="151" t="s">
        <v>2209</v>
      </c>
      <c r="H57" s="16"/>
      <c r="I57" s="16"/>
      <c r="J57" s="16"/>
      <c r="K57" s="16"/>
      <c r="L57" s="16"/>
      <c r="M57" s="16"/>
    </row>
    <row r="58" spans="1:13" ht="15.75" x14ac:dyDescent="0.25">
      <c r="B58" s="16"/>
      <c r="D58" s="151">
        <v>2500</v>
      </c>
      <c r="E58" s="183" t="s">
        <v>2283</v>
      </c>
      <c r="F58" s="151" t="s">
        <v>2209</v>
      </c>
      <c r="H58" s="16"/>
      <c r="I58" s="16"/>
      <c r="J58" s="16"/>
      <c r="K58" s="16"/>
      <c r="L58" s="16"/>
      <c r="M58" s="16"/>
    </row>
    <row r="59" spans="1:13" ht="15.75" x14ac:dyDescent="0.25">
      <c r="B59" s="16"/>
      <c r="D59" s="151">
        <v>2000</v>
      </c>
      <c r="E59" s="183" t="s">
        <v>2250</v>
      </c>
      <c r="F59" s="151" t="s">
        <v>2209</v>
      </c>
      <c r="H59" s="16"/>
      <c r="I59" s="16"/>
      <c r="J59" s="16"/>
      <c r="K59" s="16"/>
      <c r="L59" s="16"/>
      <c r="M59" s="16"/>
    </row>
    <row r="60" spans="1:13" ht="15.75" x14ac:dyDescent="0.25">
      <c r="D60" s="151">
        <v>1400</v>
      </c>
      <c r="E60" s="183" t="s">
        <v>2205</v>
      </c>
      <c r="F60" s="151" t="s">
        <v>2209</v>
      </c>
    </row>
    <row r="61" spans="1:13" ht="15.75" x14ac:dyDescent="0.25">
      <c r="D61" s="151">
        <v>1600</v>
      </c>
      <c r="E61" s="183" t="s">
        <v>2211</v>
      </c>
      <c r="F61" s="151" t="s">
        <v>2209</v>
      </c>
    </row>
    <row r="62" spans="1:13" ht="15.75" x14ac:dyDescent="0.25">
      <c r="D62" s="151">
        <v>750</v>
      </c>
      <c r="E62" s="183" t="s">
        <v>2284</v>
      </c>
      <c r="F62" s="189" t="s">
        <v>2209</v>
      </c>
    </row>
    <row r="63" spans="1:13" ht="15.75" x14ac:dyDescent="0.25">
      <c r="A63" s="16"/>
      <c r="B63" s="16"/>
      <c r="C63" s="16"/>
      <c r="D63" s="189">
        <v>3000</v>
      </c>
      <c r="E63" s="190" t="s">
        <v>2285</v>
      </c>
      <c r="F63" s="189" t="s">
        <v>2209</v>
      </c>
      <c r="G63" s="16"/>
      <c r="H63" s="16"/>
    </row>
    <row r="64" spans="1:13" ht="15.75" x14ac:dyDescent="0.25">
      <c r="A64" s="16"/>
      <c r="B64" s="16"/>
      <c r="C64" s="16"/>
      <c r="D64" s="189">
        <v>2200</v>
      </c>
      <c r="E64" s="190" t="s">
        <v>2286</v>
      </c>
      <c r="F64" s="189" t="s">
        <v>2209</v>
      </c>
      <c r="G64" s="16"/>
      <c r="H64" s="16"/>
    </row>
    <row r="65" spans="1:30" ht="26.25" x14ac:dyDescent="0.4">
      <c r="A65" s="156"/>
      <c r="C65" s="156"/>
      <c r="D65" s="16"/>
      <c r="E65" s="16"/>
      <c r="F65" s="16"/>
      <c r="G65" s="158"/>
      <c r="H65" s="158"/>
    </row>
    <row r="66" spans="1:30" ht="28.5" x14ac:dyDescent="0.45">
      <c r="A66" s="16"/>
      <c r="B66" s="16"/>
      <c r="C66" s="16"/>
      <c r="D66" s="157"/>
      <c r="E66" s="157"/>
      <c r="F66" s="158" t="s">
        <v>2238</v>
      </c>
      <c r="G66" s="159"/>
      <c r="H66" s="159"/>
    </row>
    <row r="67" spans="1:30" ht="18.75" x14ac:dyDescent="0.3">
      <c r="A67" s="160" t="s">
        <v>2195</v>
      </c>
      <c r="B67" s="290" t="s">
        <v>232</v>
      </c>
      <c r="C67" s="161" t="s">
        <v>38</v>
      </c>
      <c r="D67" s="16"/>
      <c r="E67" s="16"/>
      <c r="F67" s="159" t="s">
        <v>2239</v>
      </c>
      <c r="G67" s="291" t="s">
        <v>51</v>
      </c>
      <c r="H67" s="291"/>
    </row>
    <row r="68" spans="1:30" ht="18.75" x14ac:dyDescent="0.3">
      <c r="A68" s="163"/>
      <c r="B68" s="290"/>
      <c r="C68" s="164" t="s">
        <v>2194</v>
      </c>
      <c r="D68" s="162"/>
      <c r="E68" s="161" t="s">
        <v>38</v>
      </c>
      <c r="F68" s="162"/>
      <c r="G68" s="291"/>
      <c r="H68" s="291"/>
    </row>
    <row r="69" spans="1:30" ht="28.5" x14ac:dyDescent="0.45">
      <c r="A69" s="166" t="s">
        <v>2206</v>
      </c>
      <c r="B69" s="290"/>
      <c r="C69" s="167" t="s">
        <v>64</v>
      </c>
      <c r="D69" s="165" t="s">
        <v>232</v>
      </c>
      <c r="E69" s="164" t="s">
        <v>2240</v>
      </c>
      <c r="F69" s="165" t="s">
        <v>232</v>
      </c>
      <c r="G69" s="291"/>
      <c r="H69" s="291"/>
    </row>
    <row r="70" spans="1:30" ht="18.75" x14ac:dyDescent="0.3">
      <c r="A70" s="16"/>
      <c r="B70" s="16"/>
      <c r="C70" s="169" t="s">
        <v>2243</v>
      </c>
      <c r="D70" s="168"/>
      <c r="E70" s="167" t="s">
        <v>2194</v>
      </c>
      <c r="F70" s="168"/>
      <c r="G70" s="170" t="s">
        <v>2244</v>
      </c>
      <c r="H70" s="169" t="s">
        <v>2245</v>
      </c>
      <c r="I70" s="110" t="s">
        <v>2287</v>
      </c>
    </row>
    <row r="71" spans="1:30" ht="15.75" x14ac:dyDescent="0.25">
      <c r="A71" s="16"/>
      <c r="B71" s="16"/>
      <c r="C71" s="16"/>
      <c r="D71" s="16"/>
      <c r="E71" s="169" t="s">
        <v>2243</v>
      </c>
      <c r="F71" s="16"/>
      <c r="G71" s="171" t="s">
        <v>2211</v>
      </c>
      <c r="H71" s="172" t="s">
        <v>20</v>
      </c>
      <c r="I71" s="110" t="s">
        <v>2288</v>
      </c>
    </row>
    <row r="72" spans="1:30" ht="15.75" x14ac:dyDescent="0.25">
      <c r="A72" s="16"/>
      <c r="B72" s="16" t="s">
        <v>1241</v>
      </c>
      <c r="C72" s="16" t="s">
        <v>2252</v>
      </c>
      <c r="D72" s="16"/>
      <c r="E72" s="16"/>
      <c r="F72" s="16"/>
      <c r="G72" s="171" t="s">
        <v>2205</v>
      </c>
      <c r="H72" s="173" t="s">
        <v>2248</v>
      </c>
      <c r="I72" s="110" t="s">
        <v>2289</v>
      </c>
    </row>
    <row r="73" spans="1:30" ht="15.75" x14ac:dyDescent="0.25">
      <c r="A73" s="16"/>
      <c r="B73" s="16" t="s">
        <v>1243</v>
      </c>
      <c r="C73" s="16" t="s">
        <v>2290</v>
      </c>
      <c r="D73" s="16"/>
      <c r="E73" s="16"/>
      <c r="F73" s="16"/>
      <c r="G73" s="171" t="s">
        <v>2250</v>
      </c>
      <c r="H73" s="173" t="s">
        <v>2251</v>
      </c>
      <c r="I73" s="110" t="s">
        <v>2291</v>
      </c>
    </row>
    <row r="74" spans="1:30" x14ac:dyDescent="0.25">
      <c r="B74" t="s">
        <v>1268</v>
      </c>
      <c r="C74" t="s">
        <v>2292</v>
      </c>
      <c r="D74" s="16"/>
      <c r="E74" s="16"/>
      <c r="F74" s="16"/>
      <c r="H74" s="110" t="s">
        <v>17</v>
      </c>
    </row>
    <row r="75" spans="1:30" x14ac:dyDescent="0.25">
      <c r="B75" s="16" t="s">
        <v>19</v>
      </c>
      <c r="C75" t="s">
        <v>2255</v>
      </c>
    </row>
    <row r="79" spans="1:30" ht="15.95" customHeight="1" x14ac:dyDescent="0.25">
      <c r="A79" s="281" t="s">
        <v>2264</v>
      </c>
      <c r="B79" s="281"/>
      <c r="C79" s="142" t="s">
        <v>2293</v>
      </c>
      <c r="G79" s="281" t="s">
        <v>38</v>
      </c>
      <c r="H79" s="281"/>
      <c r="I79" s="281" t="s">
        <v>2293</v>
      </c>
      <c r="J79" s="281"/>
      <c r="K79" s="281" t="s">
        <v>2294</v>
      </c>
      <c r="L79" s="281"/>
      <c r="M79" s="281" t="s">
        <v>38</v>
      </c>
      <c r="N79" s="281"/>
      <c r="O79" s="281" t="s">
        <v>2295</v>
      </c>
      <c r="P79" s="281"/>
      <c r="Q79" s="281" t="s">
        <v>2296</v>
      </c>
      <c r="R79" s="281"/>
      <c r="S79" s="281" t="s">
        <v>2297</v>
      </c>
      <c r="T79" s="281"/>
      <c r="U79" s="281" t="s">
        <v>2298</v>
      </c>
      <c r="V79" s="281"/>
      <c r="W79" s="281" t="s">
        <v>45</v>
      </c>
      <c r="X79" s="281"/>
      <c r="Y79" s="283" t="s">
        <v>46</v>
      </c>
      <c r="Z79" s="283"/>
      <c r="AA79" s="283" t="s">
        <v>2299</v>
      </c>
      <c r="AB79" s="283"/>
      <c r="AC79" s="283" t="s">
        <v>51</v>
      </c>
      <c r="AD79" s="283"/>
    </row>
    <row r="80" spans="1:30" ht="15.95" customHeight="1" x14ac:dyDescent="0.25">
      <c r="A80" s="281"/>
      <c r="B80" s="281"/>
      <c r="C80" s="142"/>
      <c r="D80" s="142"/>
      <c r="E80" s="281" t="s">
        <v>2294</v>
      </c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3"/>
      <c r="Z80" s="283"/>
      <c r="AA80" s="283"/>
      <c r="AB80" s="283"/>
      <c r="AC80" s="283"/>
      <c r="AD80" s="283"/>
    </row>
    <row r="81" spans="1:32" ht="15.75" x14ac:dyDescent="0.25">
      <c r="A81" s="191" t="s">
        <v>2285</v>
      </c>
      <c r="B81" s="192" t="s">
        <v>36</v>
      </c>
      <c r="C81" s="193">
        <v>1</v>
      </c>
      <c r="D81" s="178" t="s">
        <v>2300</v>
      </c>
      <c r="E81" s="281"/>
      <c r="F81" s="281"/>
      <c r="G81" s="193" t="s">
        <v>2201</v>
      </c>
      <c r="H81" s="194">
        <v>160</v>
      </c>
      <c r="I81" s="193">
        <v>1</v>
      </c>
      <c r="J81" s="178" t="s">
        <v>2300</v>
      </c>
      <c r="K81" s="195" t="s">
        <v>2201</v>
      </c>
      <c r="L81" s="169">
        <v>1</v>
      </c>
      <c r="M81" s="193" t="s">
        <v>2201</v>
      </c>
      <c r="N81" s="194" t="s">
        <v>2301</v>
      </c>
      <c r="O81" s="196" t="s">
        <v>2302</v>
      </c>
      <c r="P81" s="197"/>
      <c r="Q81" s="193" t="s">
        <v>2201</v>
      </c>
      <c r="R81" s="178">
        <v>0.25</v>
      </c>
      <c r="S81" s="198" t="s">
        <v>2303</v>
      </c>
      <c r="T81" s="44" t="s">
        <v>2304</v>
      </c>
      <c r="U81" s="199" t="s">
        <v>2207</v>
      </c>
      <c r="V81" s="200" t="s">
        <v>2305</v>
      </c>
      <c r="W81" s="199" t="s">
        <v>2281</v>
      </c>
      <c r="X81" s="178" t="s">
        <v>2306</v>
      </c>
      <c r="Y81" s="199" t="s">
        <v>2234</v>
      </c>
      <c r="Z81" s="178" t="s">
        <v>2307</v>
      </c>
      <c r="AA81" s="201" t="s">
        <v>2284</v>
      </c>
      <c r="AB81" s="202" t="s">
        <v>2308</v>
      </c>
      <c r="AC81" s="193" t="s">
        <v>2211</v>
      </c>
      <c r="AD81" s="194" t="s">
        <v>20</v>
      </c>
    </row>
    <row r="82" spans="1:32" ht="14.25" customHeight="1" x14ac:dyDescent="0.25">
      <c r="A82" s="203" t="s">
        <v>2224</v>
      </c>
      <c r="B82" s="204" t="s">
        <v>2309</v>
      </c>
      <c r="C82" s="171">
        <v>2</v>
      </c>
      <c r="D82" s="184" t="s">
        <v>2268</v>
      </c>
      <c r="E82" s="170" t="s">
        <v>2201</v>
      </c>
      <c r="F82" s="205">
        <v>1</v>
      </c>
      <c r="G82" s="171" t="s">
        <v>2199</v>
      </c>
      <c r="H82" s="172">
        <v>200</v>
      </c>
      <c r="I82" s="171">
        <v>2</v>
      </c>
      <c r="J82" s="184" t="s">
        <v>2268</v>
      </c>
      <c r="K82" s="206" t="s">
        <v>2199</v>
      </c>
      <c r="L82" s="207">
        <v>2</v>
      </c>
      <c r="M82" s="171" t="s">
        <v>2199</v>
      </c>
      <c r="N82" s="172">
        <v>200</v>
      </c>
      <c r="O82" s="16"/>
      <c r="P82" s="16"/>
      <c r="Q82" s="193" t="s">
        <v>2199</v>
      </c>
      <c r="R82" s="178">
        <v>0.37</v>
      </c>
      <c r="S82" s="16"/>
      <c r="T82" s="16"/>
      <c r="U82" s="16"/>
      <c r="V82" s="16"/>
      <c r="W82" s="208" t="s">
        <v>2279</v>
      </c>
      <c r="X82" s="209" t="s">
        <v>2310</v>
      </c>
      <c r="Y82" s="210"/>
      <c r="Z82" s="210"/>
      <c r="AA82" s="211"/>
      <c r="AB82" s="212"/>
      <c r="AC82" s="171" t="s">
        <v>2205</v>
      </c>
      <c r="AD82" s="173" t="s">
        <v>2248</v>
      </c>
    </row>
    <row r="83" spans="1:32" ht="24.75" customHeight="1" x14ac:dyDescent="0.25">
      <c r="A83" s="192" t="s">
        <v>36</v>
      </c>
      <c r="B83" s="191" t="s">
        <v>2285</v>
      </c>
      <c r="C83" s="171">
        <v>3</v>
      </c>
      <c r="D83" s="184" t="s">
        <v>27</v>
      </c>
      <c r="E83" s="213" t="s">
        <v>2199</v>
      </c>
      <c r="F83" s="214">
        <v>2</v>
      </c>
      <c r="G83" s="171" t="s">
        <v>2212</v>
      </c>
      <c r="H83" s="172">
        <v>300</v>
      </c>
      <c r="I83" s="171">
        <v>3</v>
      </c>
      <c r="J83" s="184" t="s">
        <v>27</v>
      </c>
      <c r="K83" s="213" t="s">
        <v>2212</v>
      </c>
      <c r="L83" s="207">
        <v>3</v>
      </c>
      <c r="M83" s="171" t="s">
        <v>2212</v>
      </c>
      <c r="N83" s="172">
        <v>300</v>
      </c>
      <c r="O83" s="16"/>
      <c r="P83" s="16"/>
      <c r="Q83" s="171" t="s">
        <v>2212</v>
      </c>
      <c r="R83" s="178">
        <v>0.55000000000000004</v>
      </c>
      <c r="S83" s="16"/>
      <c r="T83" s="16"/>
      <c r="U83" s="16"/>
      <c r="V83" s="16"/>
      <c r="W83" s="208" t="s">
        <v>2285</v>
      </c>
      <c r="X83" s="209" t="s">
        <v>2311</v>
      </c>
      <c r="Y83" s="210"/>
      <c r="Z83" s="210"/>
      <c r="AA83" s="211"/>
      <c r="AB83" s="212"/>
      <c r="AC83" s="296" t="s">
        <v>2250</v>
      </c>
      <c r="AD83" s="297" t="s">
        <v>2251</v>
      </c>
    </row>
    <row r="84" spans="1:32" ht="15.75" x14ac:dyDescent="0.25">
      <c r="A84" s="204" t="s">
        <v>2309</v>
      </c>
      <c r="B84" s="203" t="s">
        <v>2224</v>
      </c>
      <c r="C84" s="171">
        <v>4</v>
      </c>
      <c r="D84" s="184" t="s">
        <v>2272</v>
      </c>
      <c r="E84" s="213" t="s">
        <v>2212</v>
      </c>
      <c r="F84" s="215">
        <v>3</v>
      </c>
      <c r="G84" s="171" t="s">
        <v>2207</v>
      </c>
      <c r="H84" s="172">
        <v>350</v>
      </c>
      <c r="I84" s="171">
        <v>4</v>
      </c>
      <c r="J84" s="184" t="s">
        <v>2272</v>
      </c>
      <c r="K84" s="213" t="s">
        <v>2207</v>
      </c>
      <c r="L84" s="215">
        <v>4</v>
      </c>
      <c r="M84" s="171" t="s">
        <v>2207</v>
      </c>
      <c r="N84" s="172">
        <v>350</v>
      </c>
      <c r="O84" s="16"/>
      <c r="P84" s="16"/>
      <c r="Q84" s="171" t="s">
        <v>2207</v>
      </c>
      <c r="R84" s="184">
        <v>0.75</v>
      </c>
      <c r="S84" s="16"/>
      <c r="T84" s="16"/>
      <c r="U84" s="16"/>
      <c r="V84" s="16"/>
      <c r="W84" s="208"/>
      <c r="X84" s="209"/>
      <c r="Y84" s="210"/>
      <c r="Z84" s="212"/>
      <c r="AA84" s="211"/>
      <c r="AB84" s="212"/>
      <c r="AC84" s="296"/>
      <c r="AD84" s="297"/>
    </row>
    <row r="85" spans="1:32" ht="15.95" customHeight="1" x14ac:dyDescent="0.25">
      <c r="A85" s="16"/>
      <c r="B85" s="16"/>
      <c r="C85" s="171">
        <v>5</v>
      </c>
      <c r="D85" s="184" t="s">
        <v>2273</v>
      </c>
      <c r="E85" s="213" t="s">
        <v>2207</v>
      </c>
      <c r="F85" s="215">
        <v>4</v>
      </c>
      <c r="G85" s="171" t="s">
        <v>2218</v>
      </c>
      <c r="H85" s="172">
        <v>400</v>
      </c>
      <c r="I85" s="171">
        <v>5</v>
      </c>
      <c r="J85" s="184" t="s">
        <v>2273</v>
      </c>
      <c r="K85" s="15"/>
      <c r="L85" s="15"/>
      <c r="M85" s="171" t="s">
        <v>2218</v>
      </c>
      <c r="N85" s="172">
        <v>400</v>
      </c>
      <c r="O85" s="16"/>
      <c r="P85" s="16"/>
      <c r="Q85" s="171" t="s">
        <v>2218</v>
      </c>
      <c r="R85" s="216">
        <v>1.1000000000000001</v>
      </c>
      <c r="S85" s="16"/>
      <c r="T85" s="16"/>
      <c r="U85" s="16"/>
      <c r="V85" s="16"/>
      <c r="W85" s="16"/>
      <c r="X85" s="16"/>
      <c r="Y85" s="210"/>
      <c r="Z85" s="212"/>
      <c r="AA85" s="211"/>
      <c r="AB85" s="212"/>
      <c r="AC85" s="296" t="s">
        <v>2218</v>
      </c>
      <c r="AD85" s="297" t="s">
        <v>2312</v>
      </c>
    </row>
    <row r="86" spans="1:32" ht="15.75" x14ac:dyDescent="0.25">
      <c r="A86" s="16"/>
      <c r="B86" s="16"/>
      <c r="C86" s="171">
        <v>6</v>
      </c>
      <c r="D86" s="217" t="s">
        <v>2313</v>
      </c>
      <c r="E86" s="15"/>
      <c r="F86" s="15"/>
      <c r="G86" s="171" t="s">
        <v>2220</v>
      </c>
      <c r="H86" s="172">
        <v>500</v>
      </c>
      <c r="I86" s="171">
        <v>6</v>
      </c>
      <c r="J86" s="217" t="s">
        <v>2314</v>
      </c>
      <c r="K86" s="15"/>
      <c r="L86" s="15"/>
      <c r="M86" s="171" t="s">
        <v>2220</v>
      </c>
      <c r="N86" s="172">
        <v>500</v>
      </c>
      <c r="O86" s="16"/>
      <c r="P86" s="16"/>
      <c r="Q86" s="171" t="s">
        <v>2220</v>
      </c>
      <c r="R86" s="216">
        <v>1.5</v>
      </c>
      <c r="S86" s="16"/>
      <c r="T86" s="16"/>
      <c r="U86" s="16"/>
      <c r="V86" s="16"/>
      <c r="W86" s="16"/>
      <c r="X86" s="16"/>
      <c r="Y86" s="210"/>
      <c r="Z86" s="212"/>
      <c r="AA86" s="16"/>
      <c r="AB86" s="16"/>
      <c r="AC86" s="296"/>
      <c r="AD86" s="297"/>
    </row>
    <row r="87" spans="1:32" ht="15.95" customHeight="1" x14ac:dyDescent="0.25">
      <c r="A87" s="16"/>
      <c r="B87" s="16"/>
      <c r="C87" s="171">
        <v>7</v>
      </c>
      <c r="D87" s="184" t="s">
        <v>2275</v>
      </c>
      <c r="E87" s="15"/>
      <c r="F87" s="15"/>
      <c r="G87" s="171" t="s">
        <v>2222</v>
      </c>
      <c r="H87" s="172">
        <v>550</v>
      </c>
      <c r="I87" s="171">
        <v>7</v>
      </c>
      <c r="J87" s="184" t="s">
        <v>2275</v>
      </c>
      <c r="K87" s="15"/>
      <c r="L87" s="15"/>
      <c r="M87" s="171" t="s">
        <v>2222</v>
      </c>
      <c r="N87" s="172">
        <v>550</v>
      </c>
      <c r="O87" s="16"/>
      <c r="P87" s="16"/>
      <c r="Q87" s="171" t="s">
        <v>2222</v>
      </c>
      <c r="R87" s="216">
        <v>2.2000000000000002</v>
      </c>
      <c r="S87" s="16"/>
      <c r="T87" s="16"/>
      <c r="U87" s="16"/>
      <c r="V87" s="16"/>
      <c r="W87" s="16"/>
      <c r="X87" s="16"/>
      <c r="Y87" s="210"/>
      <c r="Z87" s="212"/>
      <c r="AA87" s="16"/>
      <c r="AB87" s="16"/>
      <c r="AC87" s="296" t="s">
        <v>2280</v>
      </c>
      <c r="AD87" s="297" t="s">
        <v>2315</v>
      </c>
    </row>
    <row r="88" spans="1:32" ht="15.75" x14ac:dyDescent="0.25">
      <c r="A88" s="16"/>
      <c r="B88" s="16"/>
      <c r="C88" s="171">
        <v>8</v>
      </c>
      <c r="D88" s="184" t="s">
        <v>2276</v>
      </c>
      <c r="E88" s="15"/>
      <c r="F88" s="15"/>
      <c r="G88" s="171" t="s">
        <v>2224</v>
      </c>
      <c r="H88" s="172">
        <v>600</v>
      </c>
      <c r="I88" s="171">
        <v>8</v>
      </c>
      <c r="J88" s="184" t="s">
        <v>2276</v>
      </c>
      <c r="K88" s="15"/>
      <c r="L88" s="15"/>
      <c r="M88" s="171" t="s">
        <v>2224</v>
      </c>
      <c r="N88" s="172">
        <v>600</v>
      </c>
      <c r="O88" s="16"/>
      <c r="P88" s="16"/>
      <c r="Q88" s="171" t="s">
        <v>2224</v>
      </c>
      <c r="R88" s="216">
        <v>3</v>
      </c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296"/>
      <c r="AD88" s="297"/>
    </row>
    <row r="89" spans="1:32" ht="15.75" x14ac:dyDescent="0.25">
      <c r="A89" s="16"/>
      <c r="B89" s="16"/>
      <c r="C89" s="171">
        <v>9</v>
      </c>
      <c r="D89" s="184" t="s">
        <v>2277</v>
      </c>
      <c r="E89" s="15"/>
      <c r="F89" s="15"/>
      <c r="G89" s="171" t="s">
        <v>2226</v>
      </c>
      <c r="H89" s="151">
        <v>700</v>
      </c>
      <c r="I89" s="171">
        <v>9</v>
      </c>
      <c r="J89" s="184" t="s">
        <v>2277</v>
      </c>
      <c r="K89" s="15"/>
      <c r="L89" s="15"/>
      <c r="M89" s="171" t="s">
        <v>2226</v>
      </c>
      <c r="N89" s="151">
        <v>700</v>
      </c>
      <c r="O89" s="16"/>
      <c r="P89" s="16"/>
      <c r="Q89" s="171" t="s">
        <v>2226</v>
      </c>
      <c r="R89" s="216">
        <v>4</v>
      </c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t="s">
        <v>2316</v>
      </c>
      <c r="AF89" t="s">
        <v>2283</v>
      </c>
    </row>
    <row r="90" spans="1:32" ht="15.75" x14ac:dyDescent="0.25">
      <c r="A90" s="16"/>
      <c r="B90" s="16"/>
      <c r="C90" s="171">
        <v>0</v>
      </c>
      <c r="D90" s="184" t="s">
        <v>2317</v>
      </c>
      <c r="E90" s="15"/>
      <c r="F90" s="15"/>
      <c r="G90" s="171" t="s">
        <v>2230</v>
      </c>
      <c r="H90" s="151">
        <v>800</v>
      </c>
      <c r="I90" s="15"/>
      <c r="J90" s="16"/>
      <c r="K90" s="15"/>
      <c r="L90" s="15"/>
      <c r="M90" s="171" t="s">
        <v>2230</v>
      </c>
      <c r="N90" s="151">
        <v>800</v>
      </c>
      <c r="O90" s="16"/>
      <c r="P90" s="16"/>
      <c r="Q90" s="171" t="s">
        <v>2230</v>
      </c>
      <c r="R90" s="216">
        <v>5.5</v>
      </c>
      <c r="S90" s="16"/>
      <c r="T90" s="16"/>
      <c r="U90" s="200" t="s">
        <v>2305</v>
      </c>
      <c r="V90" s="199" t="s">
        <v>2207</v>
      </c>
      <c r="W90" s="178" t="s">
        <v>2306</v>
      </c>
      <c r="X90" s="199" t="s">
        <v>2281</v>
      </c>
      <c r="Y90" s="178" t="s">
        <v>2307</v>
      </c>
      <c r="Z90" s="199" t="s">
        <v>2234</v>
      </c>
      <c r="AA90" s="202" t="s">
        <v>2308</v>
      </c>
      <c r="AB90" s="201" t="s">
        <v>2284</v>
      </c>
      <c r="AC90" s="16" t="s">
        <v>20</v>
      </c>
      <c r="AD90" s="16" t="s">
        <v>2211</v>
      </c>
      <c r="AE90" t="s">
        <v>2312</v>
      </c>
      <c r="AF90" t="s">
        <v>2218</v>
      </c>
    </row>
    <row r="91" spans="1:32" ht="110.25" x14ac:dyDescent="0.25">
      <c r="A91" s="16"/>
      <c r="B91" s="16"/>
      <c r="C91" s="178" t="s">
        <v>2265</v>
      </c>
      <c r="D91" s="193">
        <v>1</v>
      </c>
      <c r="E91" s="15"/>
      <c r="F91" s="15"/>
      <c r="G91" s="171" t="s">
        <v>2232</v>
      </c>
      <c r="H91" s="151">
        <v>1000</v>
      </c>
      <c r="I91" s="15"/>
      <c r="J91" s="16"/>
      <c r="K91" s="15"/>
      <c r="L91" s="15"/>
      <c r="M91" s="171" t="s">
        <v>2232</v>
      </c>
      <c r="N91" s="151">
        <v>1000</v>
      </c>
      <c r="O91" s="16"/>
      <c r="P91" s="16"/>
      <c r="Q91" s="171" t="s">
        <v>2232</v>
      </c>
      <c r="R91" s="216">
        <v>7.5</v>
      </c>
      <c r="S91" s="16"/>
      <c r="T91" s="16"/>
      <c r="U91" s="16" t="s">
        <v>47</v>
      </c>
      <c r="V91" s="16"/>
      <c r="W91" s="209" t="s">
        <v>2310</v>
      </c>
      <c r="X91" s="208" t="s">
        <v>2279</v>
      </c>
      <c r="Y91" s="16" t="s">
        <v>49</v>
      </c>
      <c r="Z91" s="16"/>
      <c r="AA91" s="16" t="s">
        <v>53</v>
      </c>
      <c r="AB91" s="16"/>
      <c r="AC91" s="16" t="s">
        <v>2248</v>
      </c>
      <c r="AD91" s="16" t="s">
        <v>2205</v>
      </c>
      <c r="AE91" s="16" t="s">
        <v>2318</v>
      </c>
      <c r="AF91" s="16" t="s">
        <v>2250</v>
      </c>
    </row>
    <row r="92" spans="1:32" ht="31.5" x14ac:dyDescent="0.25">
      <c r="A92" s="16"/>
      <c r="B92" s="16"/>
      <c r="C92" s="184" t="s">
        <v>2268</v>
      </c>
      <c r="D92" s="171">
        <v>2</v>
      </c>
      <c r="E92" s="205">
        <v>1</v>
      </c>
      <c r="F92" s="170" t="s">
        <v>2201</v>
      </c>
      <c r="G92" s="171" t="s">
        <v>2234</v>
      </c>
      <c r="H92" s="151">
        <v>1200</v>
      </c>
      <c r="I92" s="178" t="s">
        <v>2300</v>
      </c>
      <c r="J92" s="193">
        <v>1</v>
      </c>
      <c r="K92" s="15"/>
      <c r="L92" s="15"/>
      <c r="M92" s="171" t="s">
        <v>2234</v>
      </c>
      <c r="N92" s="151">
        <v>1200</v>
      </c>
      <c r="O92" s="16"/>
      <c r="P92" s="16"/>
      <c r="Q92" s="171" t="s">
        <v>2228</v>
      </c>
      <c r="R92" s="216">
        <v>9.1999999999999993</v>
      </c>
      <c r="S92" s="16"/>
      <c r="T92" s="16"/>
      <c r="U92" s="16"/>
      <c r="V92" s="16"/>
      <c r="W92" s="209" t="s">
        <v>2319</v>
      </c>
      <c r="X92" s="208" t="s">
        <v>2226</v>
      </c>
      <c r="Y92" s="16"/>
      <c r="Z92" s="16"/>
      <c r="AA92" s="16"/>
      <c r="AB92" s="16"/>
      <c r="AC92" s="16" t="s">
        <v>2320</v>
      </c>
      <c r="AD92" s="16" t="s">
        <v>2280</v>
      </c>
      <c r="AE92" s="16" t="s">
        <v>2321</v>
      </c>
      <c r="AF92" s="16" t="s">
        <v>2322</v>
      </c>
    </row>
    <row r="93" spans="1:32" ht="31.5" x14ac:dyDescent="0.25">
      <c r="A93" s="16"/>
      <c r="B93" s="16"/>
      <c r="C93" s="184" t="s">
        <v>27</v>
      </c>
      <c r="D93" s="171">
        <v>3</v>
      </c>
      <c r="E93" s="214">
        <v>2</v>
      </c>
      <c r="F93" s="213" t="s">
        <v>2199</v>
      </c>
      <c r="G93" s="171" t="s">
        <v>2228</v>
      </c>
      <c r="H93" s="151">
        <v>1500</v>
      </c>
      <c r="I93" s="184" t="s">
        <v>2268</v>
      </c>
      <c r="J93" s="171">
        <v>2</v>
      </c>
      <c r="K93" s="15"/>
      <c r="L93" s="15"/>
      <c r="M93" s="171" t="s">
        <v>2228</v>
      </c>
      <c r="N93" s="151">
        <v>1500</v>
      </c>
      <c r="O93" s="16"/>
      <c r="P93" s="16"/>
      <c r="Q93" s="171" t="s">
        <v>2281</v>
      </c>
      <c r="R93" s="216">
        <v>11</v>
      </c>
      <c r="S93" s="16"/>
      <c r="T93" s="16"/>
      <c r="U93" s="16"/>
      <c r="V93" s="16"/>
      <c r="W93" s="209" t="s">
        <v>2311</v>
      </c>
      <c r="X93" s="208" t="s">
        <v>2285</v>
      </c>
      <c r="Y93" s="16"/>
      <c r="Z93" s="16"/>
      <c r="AA93" s="16"/>
      <c r="AB93" s="16"/>
      <c r="AC93" s="16" t="s">
        <v>2323</v>
      </c>
      <c r="AD93" s="16"/>
      <c r="AE93" s="16" t="s">
        <v>2324</v>
      </c>
      <c r="AF93" s="16" t="s">
        <v>2244</v>
      </c>
    </row>
    <row r="94" spans="1:32" ht="31.5" x14ac:dyDescent="0.25">
      <c r="A94" s="16"/>
      <c r="B94" s="16"/>
      <c r="C94" s="184" t="s">
        <v>2272</v>
      </c>
      <c r="D94" s="171">
        <v>4</v>
      </c>
      <c r="E94" s="215">
        <v>3</v>
      </c>
      <c r="F94" s="213" t="s">
        <v>2212</v>
      </c>
      <c r="G94" s="171" t="s">
        <v>2281</v>
      </c>
      <c r="H94" s="151">
        <v>1600</v>
      </c>
      <c r="I94" s="184" t="s">
        <v>27</v>
      </c>
      <c r="J94" s="171">
        <v>3</v>
      </c>
      <c r="K94" s="15"/>
      <c r="L94" s="15"/>
      <c r="M94" s="171" t="s">
        <v>2281</v>
      </c>
      <c r="N94" s="151">
        <v>1600</v>
      </c>
      <c r="O94" s="16"/>
      <c r="P94" s="16"/>
      <c r="Q94" s="213" t="s">
        <v>2282</v>
      </c>
      <c r="R94" s="216">
        <v>15</v>
      </c>
      <c r="S94" s="16"/>
      <c r="T94" s="16"/>
      <c r="U94" s="16"/>
      <c r="V94" s="16"/>
      <c r="W94" s="212" t="s">
        <v>2325</v>
      </c>
      <c r="X94" s="208" t="s">
        <v>2286</v>
      </c>
      <c r="Y94" s="16"/>
      <c r="Z94" s="16"/>
      <c r="AA94" s="16"/>
      <c r="AB94" s="16"/>
      <c r="AC94" s="16"/>
      <c r="AD94" s="16"/>
      <c r="AE94" s="16" t="s">
        <v>2326</v>
      </c>
      <c r="AF94" s="16" t="s">
        <v>2228</v>
      </c>
    </row>
    <row r="95" spans="1:32" ht="15.75" x14ac:dyDescent="0.25">
      <c r="A95" s="16"/>
      <c r="B95" s="16"/>
      <c r="C95" s="184" t="s">
        <v>2273</v>
      </c>
      <c r="D95" s="171">
        <v>5</v>
      </c>
      <c r="E95" s="215">
        <v>4</v>
      </c>
      <c r="F95" s="213" t="s">
        <v>2207</v>
      </c>
      <c r="G95" s="171" t="s">
        <v>2282</v>
      </c>
      <c r="H95" s="151">
        <v>1800</v>
      </c>
      <c r="I95" s="184" t="s">
        <v>2272</v>
      </c>
      <c r="J95" s="171">
        <v>4</v>
      </c>
      <c r="K95" s="15"/>
      <c r="L95" s="15"/>
      <c r="M95" s="171" t="s">
        <v>2282</v>
      </c>
      <c r="N95" s="151">
        <v>1800</v>
      </c>
      <c r="O95" s="16"/>
      <c r="P95" s="16"/>
      <c r="Q95" s="213" t="s">
        <v>2244</v>
      </c>
      <c r="R95" s="216">
        <v>18.5</v>
      </c>
      <c r="S95" s="16"/>
      <c r="T95" s="16"/>
      <c r="U95" s="16"/>
      <c r="V95" s="16"/>
      <c r="W95" s="16" t="s">
        <v>48</v>
      </c>
      <c r="X95" s="208"/>
      <c r="Y95" s="16"/>
      <c r="Z95" s="16"/>
      <c r="AA95" s="16"/>
      <c r="AB95" s="16"/>
      <c r="AC95" s="16"/>
      <c r="AD95" s="16"/>
      <c r="AE95" t="s">
        <v>54</v>
      </c>
    </row>
    <row r="96" spans="1:32" ht="15.75" x14ac:dyDescent="0.25">
      <c r="A96" s="16"/>
      <c r="B96" s="16"/>
      <c r="C96" s="217" t="s">
        <v>2313</v>
      </c>
      <c r="D96" s="171">
        <v>6</v>
      </c>
      <c r="E96" s="15" t="s">
        <v>39</v>
      </c>
      <c r="F96" s="15"/>
      <c r="G96" s="171" t="s">
        <v>2244</v>
      </c>
      <c r="H96" s="151">
        <v>2000</v>
      </c>
      <c r="I96" s="184" t="s">
        <v>2273</v>
      </c>
      <c r="J96" s="171">
        <v>5</v>
      </c>
      <c r="K96" s="15"/>
      <c r="L96" s="15"/>
      <c r="M96" s="171" t="s">
        <v>2244</v>
      </c>
      <c r="N96" s="151">
        <v>2000</v>
      </c>
      <c r="O96" s="16"/>
      <c r="P96" s="16"/>
      <c r="Q96" s="213" t="s">
        <v>2250</v>
      </c>
      <c r="R96" s="216">
        <v>22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spans="1:30" ht="15.75" x14ac:dyDescent="0.25">
      <c r="A97" s="16"/>
      <c r="B97" s="16"/>
      <c r="C97" s="184" t="s">
        <v>2275</v>
      </c>
      <c r="D97" s="171">
        <v>7</v>
      </c>
      <c r="E97" s="15"/>
      <c r="F97" s="15"/>
      <c r="G97" s="171" t="s">
        <v>2250</v>
      </c>
      <c r="H97" s="151">
        <v>2500</v>
      </c>
      <c r="I97" s="217" t="s">
        <v>2314</v>
      </c>
      <c r="J97" s="171">
        <v>6</v>
      </c>
      <c r="K97" s="15"/>
      <c r="L97" s="15"/>
      <c r="M97" s="171" t="s">
        <v>2250</v>
      </c>
      <c r="N97" s="151">
        <v>2500</v>
      </c>
      <c r="O97" s="16"/>
      <c r="P97" s="16"/>
      <c r="Q97" s="213" t="s">
        <v>2205</v>
      </c>
      <c r="R97" s="216">
        <v>30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spans="1:30" ht="15.75" x14ac:dyDescent="0.25">
      <c r="A98" s="16"/>
      <c r="B98" s="16"/>
      <c r="C98" s="184" t="s">
        <v>2276</v>
      </c>
      <c r="D98" s="171">
        <v>8</v>
      </c>
      <c r="E98" s="15"/>
      <c r="F98" s="15"/>
      <c r="G98" s="171" t="s">
        <v>2205</v>
      </c>
      <c r="H98" s="151">
        <v>60</v>
      </c>
      <c r="I98" s="184" t="s">
        <v>2275</v>
      </c>
      <c r="J98" s="171">
        <v>7</v>
      </c>
      <c r="K98" s="15"/>
      <c r="L98" s="15"/>
      <c r="M98" s="15"/>
      <c r="N98" s="16"/>
      <c r="O98" s="16"/>
      <c r="P98" s="16"/>
      <c r="Q98" s="213" t="s">
        <v>2211</v>
      </c>
      <c r="R98" s="216">
        <v>37</v>
      </c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spans="1:30" ht="15.75" x14ac:dyDescent="0.25">
      <c r="A99" s="16"/>
      <c r="B99" s="16"/>
      <c r="C99" s="184" t="s">
        <v>2277</v>
      </c>
      <c r="D99" s="171">
        <v>9</v>
      </c>
      <c r="E99" s="15"/>
      <c r="F99" s="15"/>
      <c r="G99" s="171" t="s">
        <v>2211</v>
      </c>
      <c r="H99" s="151">
        <v>90</v>
      </c>
      <c r="I99" s="184" t="s">
        <v>2276</v>
      </c>
      <c r="J99" s="171">
        <v>8</v>
      </c>
      <c r="K99" s="15"/>
      <c r="L99" s="15"/>
      <c r="M99" s="15"/>
      <c r="N99" s="16"/>
      <c r="O99" s="16"/>
      <c r="P99" s="16"/>
      <c r="Q99" s="213" t="s">
        <v>2280</v>
      </c>
      <c r="R99" s="216">
        <v>0.08</v>
      </c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spans="1:30" ht="15.75" x14ac:dyDescent="0.25">
      <c r="A100" s="16"/>
      <c r="B100" s="16"/>
      <c r="C100" s="184" t="s">
        <v>2317</v>
      </c>
      <c r="D100" s="171">
        <v>0</v>
      </c>
      <c r="E100" s="15"/>
      <c r="F100" s="15"/>
      <c r="G100" s="171" t="s">
        <v>2280</v>
      </c>
      <c r="H100" s="151">
        <v>120</v>
      </c>
      <c r="I100" s="184" t="s">
        <v>2277</v>
      </c>
      <c r="J100" s="171">
        <v>9</v>
      </c>
      <c r="K100" s="15"/>
      <c r="L100" s="15"/>
      <c r="M100" s="15"/>
      <c r="N100" s="16"/>
      <c r="O100" s="16"/>
      <c r="P100" s="16"/>
      <c r="Q100" s="213" t="s">
        <v>2283</v>
      </c>
      <c r="R100" s="216">
        <v>0.185</v>
      </c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spans="1:30" ht="15.75" x14ac:dyDescent="0.25">
      <c r="C101" s="218" t="s">
        <v>39</v>
      </c>
      <c r="E101" s="15"/>
      <c r="F101" s="15"/>
      <c r="I101" s="184" t="s">
        <v>2317</v>
      </c>
      <c r="J101" s="171">
        <v>0</v>
      </c>
      <c r="Q101" s="219" t="s">
        <v>2285</v>
      </c>
      <c r="R101" s="220">
        <v>0.18</v>
      </c>
      <c r="W101" s="16"/>
      <c r="X101" s="16"/>
      <c r="AC101" s="16" t="s">
        <v>20</v>
      </c>
      <c r="AD101" s="16" t="s">
        <v>2211</v>
      </c>
    </row>
    <row r="102" spans="1:30" ht="15.75" x14ac:dyDescent="0.25">
      <c r="G102" s="194">
        <v>160</v>
      </c>
      <c r="H102" s="193" t="s">
        <v>2201</v>
      </c>
      <c r="W102" s="16"/>
      <c r="X102" s="16"/>
      <c r="AC102" s="16" t="s">
        <v>2248</v>
      </c>
      <c r="AD102" s="16" t="s">
        <v>2205</v>
      </c>
    </row>
    <row r="103" spans="1:30" ht="15.75" x14ac:dyDescent="0.25">
      <c r="G103" s="172">
        <v>200</v>
      </c>
      <c r="H103" s="171" t="s">
        <v>2199</v>
      </c>
      <c r="Q103" s="178">
        <v>0.25</v>
      </c>
      <c r="R103" s="193" t="s">
        <v>2201</v>
      </c>
      <c r="AC103" s="16" t="s">
        <v>2320</v>
      </c>
      <c r="AD103" s="16" t="s">
        <v>2280</v>
      </c>
    </row>
    <row r="104" spans="1:30" ht="15.75" x14ac:dyDescent="0.25">
      <c r="G104" s="172">
        <v>300</v>
      </c>
      <c r="H104" s="171" t="s">
        <v>2212</v>
      </c>
      <c r="Q104" s="178">
        <v>0.37</v>
      </c>
      <c r="R104" s="193" t="s">
        <v>2199</v>
      </c>
      <c r="AC104" s="16" t="s">
        <v>2323</v>
      </c>
      <c r="AD104" s="16"/>
    </row>
    <row r="105" spans="1:30" ht="15.75" x14ac:dyDescent="0.25">
      <c r="G105" s="172">
        <v>350</v>
      </c>
      <c r="H105" s="171" t="s">
        <v>2207</v>
      </c>
      <c r="Q105" s="178">
        <v>0.55000000000000004</v>
      </c>
      <c r="R105" s="171" t="s">
        <v>2212</v>
      </c>
    </row>
    <row r="106" spans="1:30" ht="15.75" x14ac:dyDescent="0.25">
      <c r="G106" s="172">
        <v>400</v>
      </c>
      <c r="H106" s="171" t="s">
        <v>2218</v>
      </c>
      <c r="Q106" s="184">
        <v>0.75</v>
      </c>
      <c r="R106" s="171" t="s">
        <v>2207</v>
      </c>
    </row>
    <row r="107" spans="1:30" ht="15.75" x14ac:dyDescent="0.25">
      <c r="G107" s="172">
        <v>500</v>
      </c>
      <c r="H107" s="171" t="s">
        <v>2220</v>
      </c>
      <c r="Q107" s="216">
        <v>1.1000000000000001</v>
      </c>
      <c r="R107" s="171" t="s">
        <v>2218</v>
      </c>
    </row>
    <row r="108" spans="1:30" ht="15.75" x14ac:dyDescent="0.25">
      <c r="G108" s="172">
        <v>550</v>
      </c>
      <c r="H108" s="171" t="s">
        <v>2222</v>
      </c>
      <c r="Q108" s="216">
        <v>1.5</v>
      </c>
      <c r="R108" s="171" t="s">
        <v>2220</v>
      </c>
    </row>
    <row r="109" spans="1:30" ht="15.75" x14ac:dyDescent="0.25">
      <c r="G109" s="172">
        <v>600</v>
      </c>
      <c r="H109" s="171" t="s">
        <v>2224</v>
      </c>
      <c r="Q109" s="216">
        <v>2.2000000000000002</v>
      </c>
      <c r="R109" s="171" t="s">
        <v>2222</v>
      </c>
    </row>
    <row r="110" spans="1:30" ht="15.75" x14ac:dyDescent="0.25">
      <c r="G110" s="151">
        <v>700</v>
      </c>
      <c r="H110" s="171" t="s">
        <v>2226</v>
      </c>
      <c r="Q110" s="216">
        <v>3</v>
      </c>
      <c r="R110" s="171" t="s">
        <v>2224</v>
      </c>
    </row>
    <row r="111" spans="1:30" ht="15.75" x14ac:dyDescent="0.25">
      <c r="G111" s="151">
        <v>800</v>
      </c>
      <c r="H111" s="171" t="s">
        <v>2230</v>
      </c>
      <c r="Q111" s="216">
        <v>4</v>
      </c>
      <c r="R111" s="171" t="s">
        <v>2226</v>
      </c>
    </row>
    <row r="112" spans="1:30" ht="15.75" x14ac:dyDescent="0.25">
      <c r="G112" s="151">
        <v>900</v>
      </c>
      <c r="H112" s="171" t="s">
        <v>2286</v>
      </c>
      <c r="Q112" s="216">
        <v>5.5</v>
      </c>
      <c r="R112" s="171" t="s">
        <v>2230</v>
      </c>
    </row>
    <row r="113" spans="7:18" ht="15.75" x14ac:dyDescent="0.25">
      <c r="G113" s="151">
        <v>1000</v>
      </c>
      <c r="H113" s="171" t="s">
        <v>2232</v>
      </c>
      <c r="Q113" s="216">
        <v>7.5</v>
      </c>
      <c r="R113" s="171" t="s">
        <v>2232</v>
      </c>
    </row>
    <row r="114" spans="7:18" ht="15.75" x14ac:dyDescent="0.25">
      <c r="G114" s="151">
        <v>1200</v>
      </c>
      <c r="H114" s="171" t="s">
        <v>2234</v>
      </c>
      <c r="Q114" s="216">
        <v>9.1999999999999993</v>
      </c>
      <c r="R114" s="171" t="s">
        <v>2228</v>
      </c>
    </row>
    <row r="115" spans="7:18" ht="15.75" x14ac:dyDescent="0.25">
      <c r="G115" s="151">
        <v>1500</v>
      </c>
      <c r="H115" s="171" t="s">
        <v>2228</v>
      </c>
      <c r="Q115" s="216">
        <v>11</v>
      </c>
      <c r="R115" s="171" t="s">
        <v>2281</v>
      </c>
    </row>
    <row r="116" spans="7:18" ht="15.75" x14ac:dyDescent="0.25">
      <c r="G116" s="151">
        <v>1600</v>
      </c>
      <c r="H116" s="171" t="s">
        <v>2281</v>
      </c>
      <c r="Q116" s="216">
        <v>15</v>
      </c>
      <c r="R116" s="213" t="s">
        <v>2282</v>
      </c>
    </row>
    <row r="117" spans="7:18" ht="15.75" x14ac:dyDescent="0.25">
      <c r="G117" s="151">
        <v>1800</v>
      </c>
      <c r="H117" s="171" t="s">
        <v>2282</v>
      </c>
      <c r="Q117" s="216">
        <v>18.5</v>
      </c>
      <c r="R117" s="213" t="s">
        <v>2244</v>
      </c>
    </row>
    <row r="118" spans="7:18" ht="15.75" x14ac:dyDescent="0.25">
      <c r="G118" s="151">
        <v>2000</v>
      </c>
      <c r="H118" s="171" t="s">
        <v>2244</v>
      </c>
      <c r="Q118" s="216">
        <v>22</v>
      </c>
      <c r="R118" s="213" t="s">
        <v>2250</v>
      </c>
    </row>
    <row r="119" spans="7:18" ht="15.75" x14ac:dyDescent="0.25">
      <c r="G119" s="151">
        <v>2500</v>
      </c>
      <c r="H119" s="171" t="s">
        <v>2250</v>
      </c>
      <c r="Q119" s="216"/>
      <c r="R119" s="213"/>
    </row>
    <row r="120" spans="7:18" ht="15.75" x14ac:dyDescent="0.25">
      <c r="G120" s="151">
        <v>3600</v>
      </c>
      <c r="H120" s="171" t="s">
        <v>2279</v>
      </c>
      <c r="Q120" s="216">
        <v>30</v>
      </c>
      <c r="R120" s="213" t="s">
        <v>2205</v>
      </c>
    </row>
    <row r="121" spans="7:18" ht="15.75" x14ac:dyDescent="0.25">
      <c r="G121" s="151">
        <v>60</v>
      </c>
      <c r="H121" s="171" t="s">
        <v>2205</v>
      </c>
      <c r="Q121" s="216">
        <v>37</v>
      </c>
      <c r="R121" s="213" t="s">
        <v>2211</v>
      </c>
    </row>
    <row r="122" spans="7:18" ht="15.75" x14ac:dyDescent="0.25">
      <c r="G122" s="151">
        <v>90</v>
      </c>
      <c r="H122" s="171" t="s">
        <v>2211</v>
      </c>
      <c r="Q122" s="216">
        <v>0.08</v>
      </c>
      <c r="R122" s="213" t="s">
        <v>2280</v>
      </c>
    </row>
    <row r="123" spans="7:18" ht="15.75" x14ac:dyDescent="0.25">
      <c r="G123" s="151">
        <v>120</v>
      </c>
      <c r="H123" s="171" t="s">
        <v>2280</v>
      </c>
      <c r="Q123" s="216">
        <v>0.185</v>
      </c>
      <c r="R123" s="213" t="s">
        <v>2283</v>
      </c>
    </row>
    <row r="124" spans="7:18" ht="15.75" x14ac:dyDescent="0.25">
      <c r="G124" s="151">
        <v>130</v>
      </c>
      <c r="H124" s="171" t="s">
        <v>2283</v>
      </c>
      <c r="Q124" s="220">
        <v>0.18</v>
      </c>
      <c r="R124" s="219" t="s">
        <v>2285</v>
      </c>
    </row>
    <row r="125" spans="7:18" ht="15.75" x14ac:dyDescent="0.25">
      <c r="G125" s="151">
        <v>1400</v>
      </c>
      <c r="H125" s="171" t="s">
        <v>2285</v>
      </c>
    </row>
    <row r="126" spans="7:18" ht="15.75" x14ac:dyDescent="0.25">
      <c r="G126" s="151">
        <v>750</v>
      </c>
      <c r="H126" s="151" t="s">
        <v>2284</v>
      </c>
    </row>
    <row r="127" spans="7:18" ht="15.75" x14ac:dyDescent="0.25">
      <c r="G127" s="143">
        <v>3000</v>
      </c>
      <c r="H127" s="189" t="s">
        <v>2322</v>
      </c>
    </row>
    <row r="128" spans="7:18" ht="15.75" x14ac:dyDescent="0.25">
      <c r="G128" t="s">
        <v>39</v>
      </c>
      <c r="H128" s="221" t="s">
        <v>232</v>
      </c>
    </row>
  </sheetData>
  <mergeCells count="42">
    <mergeCell ref="AC83:AC84"/>
    <mergeCell ref="AD83:AD84"/>
    <mergeCell ref="AC85:AC86"/>
    <mergeCell ref="AD85:AD86"/>
    <mergeCell ref="AC87:AC88"/>
    <mergeCell ref="AD87:AD88"/>
    <mergeCell ref="U79:V80"/>
    <mergeCell ref="W79:X80"/>
    <mergeCell ref="Y79:Z80"/>
    <mergeCell ref="AA79:AB80"/>
    <mergeCell ref="AC79:AD80"/>
    <mergeCell ref="K79:L80"/>
    <mergeCell ref="M79:N80"/>
    <mergeCell ref="O79:P80"/>
    <mergeCell ref="Q79:R80"/>
    <mergeCell ref="S79:T80"/>
    <mergeCell ref="B67:B69"/>
    <mergeCell ref="G67:H69"/>
    <mergeCell ref="A79:B80"/>
    <mergeCell ref="G79:H80"/>
    <mergeCell ref="I79:J80"/>
    <mergeCell ref="E80:F81"/>
    <mergeCell ref="A39:B39"/>
    <mergeCell ref="D39:F39"/>
    <mergeCell ref="G39:H39"/>
    <mergeCell ref="I39:J39"/>
    <mergeCell ref="K39:M39"/>
    <mergeCell ref="F19:H19"/>
    <mergeCell ref="B20:B22"/>
    <mergeCell ref="G20:H22"/>
    <mergeCell ref="K36:M36"/>
    <mergeCell ref="K38:M38"/>
    <mergeCell ref="K1:L1"/>
    <mergeCell ref="G2:H2"/>
    <mergeCell ref="G3:H3"/>
    <mergeCell ref="G15:H15"/>
    <mergeCell ref="F18:H18"/>
    <mergeCell ref="A1:B1"/>
    <mergeCell ref="C1:D1"/>
    <mergeCell ref="E1:F1"/>
    <mergeCell ref="G1:H1"/>
    <mergeCell ref="I1:J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L41"/>
  <sheetViews>
    <sheetView zoomScaleNormal="100" workbookViewId="0">
      <selection activeCell="B11" sqref="B11"/>
    </sheetView>
  </sheetViews>
  <sheetFormatPr baseColWidth="10" defaultColWidth="9.140625" defaultRowHeight="15" x14ac:dyDescent="0.25"/>
  <cols>
    <col min="1" max="2" width="9.140625" customWidth="1"/>
    <col min="3" max="3" width="128.28515625" style="133" customWidth="1"/>
    <col min="4" max="4" width="15.7109375" customWidth="1"/>
    <col min="5" max="5" width="9.140625" customWidth="1"/>
    <col min="6" max="6" width="17.140625" customWidth="1"/>
    <col min="7" max="7" width="29.42578125" customWidth="1"/>
    <col min="8" max="8" width="19" customWidth="1"/>
    <col min="9" max="9" width="14.28515625" customWidth="1"/>
    <col min="10" max="10" width="9.140625" customWidth="1"/>
    <col min="11" max="11" width="47.7109375" customWidth="1"/>
    <col min="12" max="1025" width="9.140625" customWidth="1"/>
  </cols>
  <sheetData>
    <row r="3" spans="2:12" x14ac:dyDescent="0.25">
      <c r="E3" t="s">
        <v>2327</v>
      </c>
    </row>
    <row r="4" spans="2:12" x14ac:dyDescent="0.25">
      <c r="C4" s="133" t="s">
        <v>2328</v>
      </c>
      <c r="D4" t="s">
        <v>2329</v>
      </c>
      <c r="H4" t="s">
        <v>2330</v>
      </c>
      <c r="K4" t="s">
        <v>2328</v>
      </c>
    </row>
    <row r="5" spans="2:12" x14ac:dyDescent="0.25">
      <c r="B5" t="s">
        <v>2331</v>
      </c>
      <c r="D5" t="s">
        <v>2332</v>
      </c>
      <c r="E5" t="s">
        <v>2333</v>
      </c>
      <c r="F5" t="s">
        <v>2334</v>
      </c>
      <c r="G5" t="s">
        <v>2335</v>
      </c>
      <c r="H5" t="s">
        <v>2296</v>
      </c>
      <c r="I5" t="s">
        <v>2304</v>
      </c>
    </row>
    <row r="6" spans="2:12" x14ac:dyDescent="0.25">
      <c r="B6" t="s">
        <v>89</v>
      </c>
      <c r="C6" s="133" t="s">
        <v>2336</v>
      </c>
      <c r="D6">
        <v>200</v>
      </c>
      <c r="E6">
        <v>640</v>
      </c>
      <c r="F6">
        <f>L6*2</f>
        <v>42</v>
      </c>
      <c r="G6" t="s">
        <v>2337</v>
      </c>
      <c r="H6">
        <v>0.25</v>
      </c>
      <c r="I6">
        <v>137</v>
      </c>
      <c r="K6" t="str">
        <f t="shared" ref="K6:K16" si="0">CONCATENATE("Agitador Vertical, Propela Tipo  Turbina de ",D6," mm de Diámetro, Longitud Maxima de Eje:  ",E6, " mm, Potencia del Motoreductor: ",H6, " kW")</f>
        <v>Agitador Vertical, Propela Tipo  Turbina de 200 mm de Diámetro, Longitud Maxima de Eje:  640 mm, Potencia del Motoreductor: 0,25 kW</v>
      </c>
      <c r="L6" s="16">
        <v>21</v>
      </c>
    </row>
    <row r="7" spans="2:12" x14ac:dyDescent="0.25">
      <c r="B7" t="s">
        <v>113</v>
      </c>
      <c r="C7" s="133" t="s">
        <v>2338</v>
      </c>
      <c r="D7">
        <v>350</v>
      </c>
      <c r="E7">
        <v>900</v>
      </c>
      <c r="F7">
        <f>L7*2</f>
        <v>48</v>
      </c>
      <c r="G7" t="s">
        <v>2339</v>
      </c>
      <c r="H7">
        <v>0.25</v>
      </c>
      <c r="I7">
        <v>137</v>
      </c>
      <c r="K7" t="str">
        <f t="shared" si="0"/>
        <v>Agitador Vertical, Propela Tipo  Turbina de 350 mm de Diámetro, Longitud Maxima de Eje:  900 mm, Potencia del Motoreductor: 0,25 kW</v>
      </c>
      <c r="L7" s="16">
        <v>24</v>
      </c>
    </row>
    <row r="8" spans="2:12" x14ac:dyDescent="0.25">
      <c r="B8" t="s">
        <v>123</v>
      </c>
      <c r="C8" s="133" t="s">
        <v>2340</v>
      </c>
      <c r="D8">
        <v>350</v>
      </c>
      <c r="E8">
        <v>1090</v>
      </c>
      <c r="F8">
        <f>L8*2</f>
        <v>66</v>
      </c>
      <c r="G8" t="s">
        <v>2341</v>
      </c>
      <c r="H8">
        <v>0.55000000000000004</v>
      </c>
      <c r="I8">
        <v>192</v>
      </c>
      <c r="K8" t="str">
        <f t="shared" si="0"/>
        <v>Agitador Vertical, Propela Tipo  Turbina de 350 mm de Diámetro, Longitud Maxima de Eje:  1090 mm, Potencia del Motoreductor: 0,55 kW</v>
      </c>
      <c r="L8" s="16">
        <v>33</v>
      </c>
    </row>
    <row r="9" spans="2:12" x14ac:dyDescent="0.25">
      <c r="B9" t="s">
        <v>139</v>
      </c>
      <c r="C9" s="133" t="s">
        <v>2342</v>
      </c>
      <c r="D9">
        <v>550</v>
      </c>
      <c r="E9">
        <v>1450</v>
      </c>
      <c r="F9">
        <f>L9*2</f>
        <v>120</v>
      </c>
      <c r="G9" t="s">
        <v>2343</v>
      </c>
      <c r="H9">
        <v>0.55000000000000004</v>
      </c>
      <c r="I9">
        <v>86</v>
      </c>
      <c r="K9" t="str">
        <f t="shared" si="0"/>
        <v>Agitador Vertical, Propela Tipo  Turbina de 550 mm de Diámetro, Longitud Maxima de Eje:  1450 mm, Potencia del Motoreductor: 0,55 kW</v>
      </c>
      <c r="L9" s="16">
        <v>60</v>
      </c>
    </row>
    <row r="10" spans="2:12" x14ac:dyDescent="0.25">
      <c r="B10" t="s">
        <v>90</v>
      </c>
      <c r="C10" s="133" t="s">
        <v>2344</v>
      </c>
      <c r="D10">
        <v>700</v>
      </c>
      <c r="E10">
        <v>1600</v>
      </c>
      <c r="F10">
        <f>L10*2</f>
        <v>182</v>
      </c>
      <c r="G10" t="s">
        <v>2345</v>
      </c>
      <c r="H10">
        <v>1.1000000000000001</v>
      </c>
      <c r="I10">
        <v>72</v>
      </c>
      <c r="K10" t="str">
        <f t="shared" si="0"/>
        <v>Agitador Vertical, Propela Tipo  Turbina de 700 mm de Diámetro, Longitud Maxima de Eje:  1600 mm, Potencia del Motoreductor: 1,1 kW</v>
      </c>
      <c r="L10" s="16">
        <v>91</v>
      </c>
    </row>
    <row r="11" spans="2:12" x14ac:dyDescent="0.25">
      <c r="B11" t="s">
        <v>114</v>
      </c>
      <c r="C11" s="133" t="s">
        <v>2346</v>
      </c>
      <c r="D11">
        <v>700</v>
      </c>
      <c r="E11">
        <v>1800</v>
      </c>
      <c r="F11">
        <f t="shared" ref="F11:F16" si="1">L11*1.5</f>
        <v>141</v>
      </c>
      <c r="G11" t="s">
        <v>2347</v>
      </c>
      <c r="H11">
        <v>1.5</v>
      </c>
      <c r="I11">
        <v>77</v>
      </c>
      <c r="K11" t="str">
        <f t="shared" si="0"/>
        <v>Agitador Vertical, Propela Tipo  Turbina de 700 mm de Diámetro, Longitud Maxima de Eje:  1800 mm, Potencia del Motoreductor: 1,5 kW</v>
      </c>
      <c r="L11" s="16">
        <v>94</v>
      </c>
    </row>
    <row r="12" spans="2:12" x14ac:dyDescent="0.25">
      <c r="B12" t="s">
        <v>124</v>
      </c>
      <c r="C12" s="133" t="s">
        <v>2348</v>
      </c>
      <c r="D12">
        <v>800</v>
      </c>
      <c r="E12">
        <v>2000</v>
      </c>
      <c r="F12">
        <f t="shared" si="1"/>
        <v>124.5</v>
      </c>
      <c r="G12" t="s">
        <v>2349</v>
      </c>
      <c r="H12">
        <v>0.37</v>
      </c>
      <c r="I12">
        <v>46</v>
      </c>
      <c r="K12" t="str">
        <f t="shared" si="0"/>
        <v>Agitador Vertical, Propela Tipo  Turbina de 800 mm de Diámetro, Longitud Maxima de Eje:  2000 mm, Potencia del Motoreductor: 0,37 kW</v>
      </c>
      <c r="L12" s="16">
        <v>83</v>
      </c>
    </row>
    <row r="13" spans="2:12" x14ac:dyDescent="0.25">
      <c r="B13" t="s">
        <v>140</v>
      </c>
      <c r="C13" s="133" t="s">
        <v>2350</v>
      </c>
      <c r="D13">
        <v>800</v>
      </c>
      <c r="E13">
        <v>2100</v>
      </c>
      <c r="F13">
        <f t="shared" si="1"/>
        <v>159</v>
      </c>
      <c r="G13" t="s">
        <v>2351</v>
      </c>
      <c r="H13">
        <v>1.1000000000000001</v>
      </c>
      <c r="I13">
        <v>63</v>
      </c>
      <c r="K13" t="str">
        <f t="shared" si="0"/>
        <v>Agitador Vertical, Propela Tipo  Turbina de 800 mm de Diámetro, Longitud Maxima de Eje:  2100 mm, Potencia del Motoreductor: 1,1 kW</v>
      </c>
      <c r="L13" s="16">
        <v>106</v>
      </c>
    </row>
    <row r="14" spans="2:12" x14ac:dyDescent="0.25">
      <c r="B14" t="s">
        <v>91</v>
      </c>
      <c r="C14" s="133" t="s">
        <v>2352</v>
      </c>
      <c r="D14">
        <v>700</v>
      </c>
      <c r="E14">
        <v>2400</v>
      </c>
      <c r="F14">
        <f t="shared" si="1"/>
        <v>243</v>
      </c>
      <c r="G14" t="s">
        <v>2353</v>
      </c>
      <c r="H14">
        <v>3</v>
      </c>
      <c r="I14">
        <v>108</v>
      </c>
      <c r="K14" t="str">
        <f t="shared" si="0"/>
        <v>Agitador Vertical, Propela Tipo  Turbina de 700 mm de Diámetro, Longitud Maxima de Eje:  2400 mm, Potencia del Motoreductor: 3 kW</v>
      </c>
      <c r="L14" s="16">
        <v>162</v>
      </c>
    </row>
    <row r="15" spans="2:12" x14ac:dyDescent="0.25">
      <c r="B15" t="s">
        <v>115</v>
      </c>
      <c r="C15" s="133" t="s">
        <v>2354</v>
      </c>
      <c r="D15">
        <v>800</v>
      </c>
      <c r="E15">
        <v>2460</v>
      </c>
      <c r="F15">
        <f t="shared" si="1"/>
        <v>255</v>
      </c>
      <c r="G15" t="s">
        <v>2355</v>
      </c>
      <c r="H15">
        <v>3</v>
      </c>
      <c r="I15">
        <v>88</v>
      </c>
      <c r="K15" t="str">
        <f t="shared" si="0"/>
        <v>Agitador Vertical, Propela Tipo  Turbina de 800 mm de Diámetro, Longitud Maxima de Eje:  2460 mm, Potencia del Motoreductor: 3 kW</v>
      </c>
      <c r="L15" s="16">
        <v>170</v>
      </c>
    </row>
    <row r="16" spans="2:12" x14ac:dyDescent="0.25">
      <c r="B16" t="s">
        <v>125</v>
      </c>
      <c r="C16" s="133" t="s">
        <v>2356</v>
      </c>
      <c r="D16">
        <v>800</v>
      </c>
      <c r="E16">
        <v>2660</v>
      </c>
      <c r="F16">
        <f t="shared" si="1"/>
        <v>318</v>
      </c>
      <c r="G16" t="s">
        <v>2357</v>
      </c>
      <c r="H16">
        <v>5.5</v>
      </c>
      <c r="I16">
        <v>102</v>
      </c>
      <c r="K16" t="str">
        <f t="shared" si="0"/>
        <v>Agitador Vertical, Propela Tipo  Turbina de 800 mm de Diámetro, Longitud Maxima de Eje:  2660 mm, Potencia del Motoreductor: 5,5 kW</v>
      </c>
      <c r="L16" s="16">
        <v>212</v>
      </c>
    </row>
    <row r="19" spans="2:12" x14ac:dyDescent="0.25">
      <c r="E19" t="s">
        <v>2358</v>
      </c>
    </row>
    <row r="20" spans="2:12" x14ac:dyDescent="0.25">
      <c r="C20" s="133" t="s">
        <v>2328</v>
      </c>
      <c r="D20" t="s">
        <v>2329</v>
      </c>
      <c r="H20" t="s">
        <v>2330</v>
      </c>
    </row>
    <row r="21" spans="2:12" x14ac:dyDescent="0.25">
      <c r="B21" t="s">
        <v>2331</v>
      </c>
      <c r="D21" t="s">
        <v>2359</v>
      </c>
      <c r="E21" t="s">
        <v>2360</v>
      </c>
      <c r="F21" t="s">
        <v>2361</v>
      </c>
      <c r="G21" t="s">
        <v>2335</v>
      </c>
      <c r="H21" t="s">
        <v>2296</v>
      </c>
      <c r="I21" t="s">
        <v>2304</v>
      </c>
      <c r="L21" s="16" t="s">
        <v>2361</v>
      </c>
    </row>
    <row r="22" spans="2:12" x14ac:dyDescent="0.25">
      <c r="B22" t="s">
        <v>189</v>
      </c>
      <c r="C22" s="133" t="s">
        <v>2362</v>
      </c>
      <c r="D22">
        <v>400</v>
      </c>
      <c r="E22">
        <v>900</v>
      </c>
      <c r="F22">
        <f>L22*2</f>
        <v>64</v>
      </c>
      <c r="G22" t="s">
        <v>2363</v>
      </c>
      <c r="H22">
        <v>0.37</v>
      </c>
      <c r="I22">
        <v>107</v>
      </c>
      <c r="K22" t="str">
        <f t="shared" ref="K22:K27" si="2">CONCATENATE("Agitador Vertical, Propela Tipo Gran Caudal de ",D22," mm de Diámetro, Longitud Maxima de Eje:  ",E22, " mm, Potencia del Motoreductor: ",H22, " kW")</f>
        <v>Agitador Vertical, Propela Tipo Gran Caudal de 400 mm de Diámetro, Longitud Maxima de Eje:  900 mm, Potencia del Motoreductor: 0,37 kW</v>
      </c>
      <c r="L22" s="16">
        <v>32</v>
      </c>
    </row>
    <row r="23" spans="2:12" x14ac:dyDescent="0.25">
      <c r="B23" t="s">
        <v>2364</v>
      </c>
      <c r="C23" s="133" t="s">
        <v>2365</v>
      </c>
      <c r="D23">
        <v>600</v>
      </c>
      <c r="E23">
        <v>1520</v>
      </c>
      <c r="F23">
        <f>L23*1.5</f>
        <v>160.5</v>
      </c>
      <c r="G23" t="s">
        <v>2343</v>
      </c>
      <c r="H23">
        <v>1.1000000000000001</v>
      </c>
      <c r="I23">
        <v>74</v>
      </c>
      <c r="K23" t="str">
        <f t="shared" si="2"/>
        <v>Agitador Vertical, Propela Tipo Gran Caudal de 600 mm de Diámetro, Longitud Maxima de Eje:  1520 mm, Potencia del Motoreductor: 1,1 kW</v>
      </c>
      <c r="L23" s="16">
        <v>107</v>
      </c>
    </row>
    <row r="24" spans="2:12" x14ac:dyDescent="0.25">
      <c r="B24" t="s">
        <v>206</v>
      </c>
      <c r="C24" s="133" t="s">
        <v>2366</v>
      </c>
      <c r="D24">
        <v>800</v>
      </c>
      <c r="E24">
        <v>2160</v>
      </c>
      <c r="F24">
        <f>L24*1.5</f>
        <v>204</v>
      </c>
      <c r="G24" t="s">
        <v>2351</v>
      </c>
      <c r="H24">
        <v>1.1000000000000001</v>
      </c>
      <c r="I24">
        <v>65</v>
      </c>
      <c r="K24" t="str">
        <f t="shared" si="2"/>
        <v>Agitador Vertical, Propela Tipo Gran Caudal de 800 mm de Diámetro, Longitud Maxima de Eje:  2160 mm, Potencia del Motoreductor: 1,1 kW</v>
      </c>
      <c r="L24" s="16">
        <v>136</v>
      </c>
    </row>
    <row r="25" spans="2:12" x14ac:dyDescent="0.25">
      <c r="B25" t="s">
        <v>190</v>
      </c>
      <c r="C25" s="133" t="s">
        <v>2367</v>
      </c>
      <c r="D25">
        <v>1000</v>
      </c>
      <c r="E25">
        <v>2700</v>
      </c>
      <c r="F25">
        <f>L25*1.5</f>
        <v>355.5</v>
      </c>
      <c r="G25" t="s">
        <v>2368</v>
      </c>
      <c r="H25">
        <v>2.2000000000000002</v>
      </c>
      <c r="I25">
        <v>53</v>
      </c>
      <c r="K25" t="str">
        <f t="shared" si="2"/>
        <v>Agitador Vertical, Propela Tipo Gran Caudal de 1000 mm de Diámetro, Longitud Maxima de Eje:  2700 mm, Potencia del Motoreductor: 2,2 kW</v>
      </c>
      <c r="L25" s="16">
        <v>237</v>
      </c>
    </row>
    <row r="26" spans="2:12" x14ac:dyDescent="0.25">
      <c r="B26" t="s">
        <v>2369</v>
      </c>
      <c r="C26" s="133" t="s">
        <v>2370</v>
      </c>
      <c r="D26">
        <v>1200</v>
      </c>
      <c r="E26">
        <v>2700</v>
      </c>
      <c r="F26">
        <f>L26*1.5</f>
        <v>475.5</v>
      </c>
      <c r="G26" t="s">
        <v>2368</v>
      </c>
      <c r="H26">
        <v>3</v>
      </c>
      <c r="I26">
        <v>43</v>
      </c>
      <c r="K26" t="str">
        <f t="shared" si="2"/>
        <v>Agitador Vertical, Propela Tipo Gran Caudal de 1200 mm de Diámetro, Longitud Maxima de Eje:  2700 mm, Potencia del Motoreductor: 3 kW</v>
      </c>
      <c r="L26" s="16">
        <v>317</v>
      </c>
    </row>
    <row r="27" spans="2:12" x14ac:dyDescent="0.25">
      <c r="B27" t="s">
        <v>2371</v>
      </c>
      <c r="C27" s="133" t="s">
        <v>2372</v>
      </c>
      <c r="D27">
        <v>1400</v>
      </c>
      <c r="E27">
        <v>2700</v>
      </c>
      <c r="F27">
        <f>L27*1.5</f>
        <v>505.5</v>
      </c>
      <c r="G27" t="s">
        <v>2368</v>
      </c>
      <c r="H27">
        <v>3</v>
      </c>
      <c r="I27">
        <v>33</v>
      </c>
      <c r="K27" t="str">
        <f t="shared" si="2"/>
        <v>Agitador Vertical, Propela Tipo Gran Caudal de 1400 mm de Diámetro, Longitud Maxima de Eje:  2700 mm, Potencia del Motoreductor: 3 kW</v>
      </c>
      <c r="L27" s="16">
        <v>337</v>
      </c>
    </row>
    <row r="30" spans="2:12" x14ac:dyDescent="0.25">
      <c r="E30" t="s">
        <v>2373</v>
      </c>
    </row>
    <row r="31" spans="2:12" x14ac:dyDescent="0.25">
      <c r="C31" s="133" t="s">
        <v>2328</v>
      </c>
      <c r="D31" t="s">
        <v>2329</v>
      </c>
      <c r="H31" t="s">
        <v>2330</v>
      </c>
    </row>
    <row r="32" spans="2:12" x14ac:dyDescent="0.25">
      <c r="B32" t="s">
        <v>2331</v>
      </c>
      <c r="D32" t="s">
        <v>2359</v>
      </c>
      <c r="E32" t="s">
        <v>2360</v>
      </c>
      <c r="F32" t="s">
        <v>2361</v>
      </c>
      <c r="G32" t="s">
        <v>2335</v>
      </c>
      <c r="H32" t="s">
        <v>2296</v>
      </c>
      <c r="I32" t="s">
        <v>2304</v>
      </c>
    </row>
    <row r="33" spans="2:12" x14ac:dyDescent="0.25">
      <c r="B33" t="s">
        <v>148</v>
      </c>
      <c r="C33" s="133" t="s">
        <v>2374</v>
      </c>
      <c r="D33">
        <v>200</v>
      </c>
      <c r="E33">
        <v>590</v>
      </c>
      <c r="F33">
        <f>L33*2</f>
        <v>42</v>
      </c>
      <c r="G33" t="s">
        <v>2375</v>
      </c>
      <c r="H33">
        <v>0.37</v>
      </c>
      <c r="I33">
        <v>293</v>
      </c>
      <c r="K33" t="str">
        <f t="shared" ref="K33:K41" si="3">CONCATENATE("Agitador Vertical, Propela Tipo Curva Tripala de ",D33," mm de Diámetro, Longitud Maxima de Eje:  ",E33, " mm, Potencia del Motoreductor: ",H33, " kW")</f>
        <v>Agitador Vertical, Propela Tipo Curva Tripala de 200 mm de Diámetro, Longitud Maxima de Eje:  590 mm, Potencia del Motoreductor: 0,37 kW</v>
      </c>
      <c r="L33" s="16">
        <v>21</v>
      </c>
    </row>
    <row r="34" spans="2:12" x14ac:dyDescent="0.25">
      <c r="B34" t="s">
        <v>160</v>
      </c>
      <c r="C34" s="133" t="s">
        <v>2376</v>
      </c>
      <c r="D34">
        <v>300</v>
      </c>
      <c r="E34">
        <v>860</v>
      </c>
      <c r="F34">
        <f>L34*2</f>
        <v>46</v>
      </c>
      <c r="G34" t="s">
        <v>2377</v>
      </c>
      <c r="H34">
        <v>0.25</v>
      </c>
      <c r="I34">
        <v>189</v>
      </c>
      <c r="K34" t="str">
        <f t="shared" si="3"/>
        <v>Agitador Vertical, Propela Tipo Curva Tripala de 300 mm de Diámetro, Longitud Maxima de Eje:  860 mm, Potencia del Motoreductor: 0,25 kW</v>
      </c>
      <c r="L34" s="16">
        <v>23</v>
      </c>
    </row>
    <row r="35" spans="2:12" x14ac:dyDescent="0.25">
      <c r="B35" t="s">
        <v>173</v>
      </c>
      <c r="C35" s="133" t="s">
        <v>2378</v>
      </c>
      <c r="D35">
        <v>400</v>
      </c>
      <c r="E35">
        <v>1080</v>
      </c>
      <c r="F35">
        <f>L35*2</f>
        <v>50</v>
      </c>
      <c r="G35" t="s">
        <v>2379</v>
      </c>
      <c r="H35">
        <v>0.37</v>
      </c>
      <c r="I35">
        <v>120</v>
      </c>
      <c r="K35" t="str">
        <f t="shared" si="3"/>
        <v>Agitador Vertical, Propela Tipo Curva Tripala de 400 mm de Diámetro, Longitud Maxima de Eje:  1080 mm, Potencia del Motoreductor: 0,37 kW</v>
      </c>
      <c r="L35" s="16">
        <v>25</v>
      </c>
    </row>
    <row r="36" spans="2:12" x14ac:dyDescent="0.25">
      <c r="B36" t="s">
        <v>149</v>
      </c>
      <c r="C36" s="133" t="s">
        <v>2380</v>
      </c>
      <c r="D36">
        <v>500</v>
      </c>
      <c r="E36">
        <v>1350</v>
      </c>
      <c r="F36">
        <f>L36*2</f>
        <v>90</v>
      </c>
      <c r="G36" t="s">
        <v>2381</v>
      </c>
      <c r="H36">
        <v>0.75</v>
      </c>
      <c r="I36">
        <v>129</v>
      </c>
      <c r="K36" t="str">
        <f t="shared" si="3"/>
        <v>Agitador Vertical, Propela Tipo Curva Tripala de 500 mm de Diámetro, Longitud Maxima de Eje:  1350 mm, Potencia del Motoreductor: 0,75 kW</v>
      </c>
      <c r="L36" s="16">
        <v>45</v>
      </c>
    </row>
    <row r="37" spans="2:12" x14ac:dyDescent="0.25">
      <c r="B37" t="s">
        <v>161</v>
      </c>
      <c r="C37" s="133" t="s">
        <v>2382</v>
      </c>
      <c r="D37">
        <v>600</v>
      </c>
      <c r="E37">
        <v>1620</v>
      </c>
      <c r="F37">
        <f>L37*1.5</f>
        <v>141</v>
      </c>
      <c r="G37" t="s">
        <v>2345</v>
      </c>
      <c r="H37">
        <v>2.2000000000000002</v>
      </c>
      <c r="I37">
        <v>118</v>
      </c>
      <c r="K37" t="str">
        <f t="shared" si="3"/>
        <v>Agitador Vertical, Propela Tipo Curva Tripala de 600 mm de Diámetro, Longitud Maxima de Eje:  1620 mm, Potencia del Motoreductor: 2,2 kW</v>
      </c>
      <c r="L37" s="16">
        <v>94</v>
      </c>
    </row>
    <row r="38" spans="2:12" x14ac:dyDescent="0.25">
      <c r="B38" t="s">
        <v>174</v>
      </c>
      <c r="C38" s="133" t="s">
        <v>2383</v>
      </c>
      <c r="D38">
        <v>700</v>
      </c>
      <c r="E38">
        <v>1840</v>
      </c>
      <c r="F38">
        <f>L38*1.5</f>
        <v>151.5</v>
      </c>
      <c r="G38" t="s">
        <v>2384</v>
      </c>
      <c r="H38">
        <v>1.5</v>
      </c>
      <c r="I38">
        <v>89</v>
      </c>
      <c r="K38" t="str">
        <f t="shared" si="3"/>
        <v>Agitador Vertical, Propela Tipo Curva Tripala de 700 mm de Diámetro, Longitud Maxima de Eje:  1840 mm, Potencia del Motoreductor: 1,5 kW</v>
      </c>
      <c r="L38" s="16">
        <v>101</v>
      </c>
    </row>
    <row r="39" spans="2:12" x14ac:dyDescent="0.25">
      <c r="B39" t="s">
        <v>150</v>
      </c>
      <c r="C39" s="133" t="s">
        <v>2385</v>
      </c>
      <c r="D39">
        <v>800</v>
      </c>
      <c r="E39">
        <v>2060</v>
      </c>
      <c r="F39">
        <f>L39*1.5</f>
        <v>129</v>
      </c>
      <c r="G39" t="s">
        <v>2349</v>
      </c>
      <c r="H39">
        <v>1.5</v>
      </c>
      <c r="I39">
        <v>159</v>
      </c>
      <c r="K39" t="str">
        <f t="shared" si="3"/>
        <v>Agitador Vertical, Propela Tipo Curva Tripala de 800 mm de Diámetro, Longitud Maxima de Eje:  2060 mm, Potencia del Motoreductor: 1,5 kW</v>
      </c>
      <c r="L39" s="16">
        <v>86</v>
      </c>
    </row>
    <row r="40" spans="2:12" x14ac:dyDescent="0.25">
      <c r="B40" t="s">
        <v>162</v>
      </c>
      <c r="C40" s="133" t="s">
        <v>2386</v>
      </c>
      <c r="D40">
        <v>1000</v>
      </c>
      <c r="E40">
        <v>2600</v>
      </c>
      <c r="F40">
        <f>L40*1.5</f>
        <v>193.5</v>
      </c>
      <c r="G40" t="s">
        <v>2387</v>
      </c>
      <c r="H40">
        <v>2.2000000000000002</v>
      </c>
      <c r="I40">
        <v>118</v>
      </c>
      <c r="K40" t="str">
        <f t="shared" si="3"/>
        <v>Agitador Vertical, Propela Tipo Curva Tripala de 1000 mm de Diámetro, Longitud Maxima de Eje:  2600 mm, Potencia del Motoreductor: 2,2 kW</v>
      </c>
      <c r="L40" s="16">
        <v>129</v>
      </c>
    </row>
    <row r="41" spans="2:12" x14ac:dyDescent="0.25">
      <c r="B41" t="s">
        <v>2388</v>
      </c>
      <c r="C41" s="133" t="s">
        <v>2389</v>
      </c>
      <c r="D41">
        <v>1200</v>
      </c>
      <c r="E41">
        <v>2640</v>
      </c>
      <c r="F41">
        <f>L41*1.5</f>
        <v>250.5</v>
      </c>
      <c r="G41" t="s">
        <v>2390</v>
      </c>
      <c r="H41">
        <v>3</v>
      </c>
      <c r="I41">
        <v>95</v>
      </c>
      <c r="K41" t="str">
        <f t="shared" si="3"/>
        <v>Agitador Vertical, Propela Tipo Curva Tripala de 1200 mm de Diámetro, Longitud Maxima de Eje:  2640 mm, Potencia del Motoreductor: 3 kW</v>
      </c>
      <c r="L41" s="16">
        <v>167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10</vt:i4>
      </vt:variant>
    </vt:vector>
  </HeadingPairs>
  <TitlesOfParts>
    <vt:vector size="26" baseType="lpstr">
      <vt:lpstr>CODIFICADOR</vt:lpstr>
      <vt:lpstr>PLANTILLA DE P.  (2)</vt:lpstr>
      <vt:lpstr>Hoja1</vt:lpstr>
      <vt:lpstr>V2</vt:lpstr>
      <vt:lpstr>V3</vt:lpstr>
      <vt:lpstr>V4</vt:lpstr>
      <vt:lpstr>OTROS AG</vt:lpstr>
      <vt:lpstr>EJXA</vt:lpstr>
      <vt:lpstr>EJXC</vt:lpstr>
      <vt:lpstr>AB</vt:lpstr>
      <vt:lpstr>AD</vt:lpstr>
      <vt:lpstr>P</vt:lpstr>
      <vt:lpstr>INSUMOS</vt:lpstr>
      <vt:lpstr>P. PARTES</vt:lpstr>
      <vt:lpstr>HERR CODS</vt:lpstr>
      <vt:lpstr>RESUMEN (2)</vt:lpstr>
      <vt:lpstr>ACOPLE_BRIDADO</vt:lpstr>
      <vt:lpstr>ACOPLE_DIRECTO</vt:lpstr>
      <vt:lpstr>EJE_MACIZO</vt:lpstr>
      <vt:lpstr>EJE_TUBULAR</vt:lpstr>
      <vt:lpstr>MOTOREDUCTOR</vt:lpstr>
      <vt:lpstr>NO_APLICA</vt:lpstr>
      <vt:lpstr>PERNOS</vt:lpstr>
      <vt:lpstr>PLACA</vt:lpstr>
      <vt:lpstr>PLETINAS</vt:lpstr>
      <vt:lpstr>PROPELAS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INGENIERO JUNIOR</dc:creator>
  <dc:description/>
  <cp:lastModifiedBy>Oscar Goyes</cp:lastModifiedBy>
  <cp:revision>22</cp:revision>
  <cp:lastPrinted>2021-10-28T20:54:50Z</cp:lastPrinted>
  <dcterms:created xsi:type="dcterms:W3CDTF">2016-04-19T15:47:51Z</dcterms:created>
  <dcterms:modified xsi:type="dcterms:W3CDTF">2026-10-01T16:20:16Z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