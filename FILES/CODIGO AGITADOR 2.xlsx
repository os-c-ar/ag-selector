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00201F63-BA75-4233-9D18-B9210EBD962B}" xr6:coauthVersionLast="47" xr6:coauthVersionMax="47" xr10:uidLastSave="{00000000-0000-0000-0000-000000000000}"/>
  <bookViews>
    <workbookView xWindow="-120" yWindow="-120" windowWidth="29040" windowHeight="15720" tabRatio="740" xr2:uid="{00000000-000D-0000-FFFF-FFFF00000000}"/>
  </bookViews>
  <sheets>
    <sheet name="CODIFICADOR" sheetId="17" r:id="rId1"/>
    <sheet name="HERR CODS" sheetId="16" r:id="rId2"/>
  </sheets>
  <definedNames>
    <definedName name="ACOPLE_BRIDADO">#REF!</definedName>
    <definedName name="ACOPLE_DIRECTO">#REF!</definedName>
    <definedName name="EJE_MACIZO">#REF!</definedName>
    <definedName name="EJE_TUBULAR">#REF!</definedName>
    <definedName name="MOTOREDUCTOR">#REF!</definedName>
    <definedName name="NO_APLICA">#REF!</definedName>
    <definedName name="PERNOS">#REF!</definedName>
    <definedName name="PLACA">#REF!</definedName>
    <definedName name="PLETINAS">#REF!</definedName>
    <definedName name="PROPELA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7" l="1"/>
</calcChain>
</file>

<file path=xl/sharedStrings.xml><?xml version="1.0" encoding="utf-8"?>
<sst xmlns="http://schemas.openxmlformats.org/spreadsheetml/2006/main" count="534" uniqueCount="181">
  <si>
    <t>-</t>
  </si>
  <si>
    <t>4"</t>
  </si>
  <si>
    <t>2"</t>
  </si>
  <si>
    <t>2 1/2"</t>
  </si>
  <si>
    <t>3"</t>
  </si>
  <si>
    <t>6"</t>
  </si>
  <si>
    <t>8"</t>
  </si>
  <si>
    <t>POTENCIA (kW)</t>
  </si>
  <si>
    <t>RPM</t>
  </si>
  <si>
    <t>ACOPLE BRIDADO</t>
  </si>
  <si>
    <t>E</t>
  </si>
  <si>
    <t>EJE</t>
  </si>
  <si>
    <t>ACOPLE</t>
  </si>
  <si>
    <t>SCHEDULE</t>
  </si>
  <si>
    <t>LONGITUD</t>
  </si>
  <si>
    <t>DIÁMETRO NOMINAL</t>
  </si>
  <si>
    <t>MATERIAL</t>
  </si>
  <si>
    <t>B</t>
  </si>
  <si>
    <t>BRIDA</t>
  </si>
  <si>
    <t>A</t>
  </si>
  <si>
    <t>MACIZO</t>
  </si>
  <si>
    <t>XXX</t>
  </si>
  <si>
    <t>(3/4")</t>
  </si>
  <si>
    <t>R</t>
  </si>
  <si>
    <t>Acero A36</t>
  </si>
  <si>
    <t>D</t>
  </si>
  <si>
    <t>DIRECTO</t>
  </si>
  <si>
    <t>SCH 10</t>
  </si>
  <si>
    <t>cm</t>
  </si>
  <si>
    <t>(1")</t>
  </si>
  <si>
    <t>S</t>
  </si>
  <si>
    <t>Acero inoxidable 316SS</t>
  </si>
  <si>
    <t>C</t>
  </si>
  <si>
    <t>SCH 40</t>
  </si>
  <si>
    <t>(1.1/4")</t>
  </si>
  <si>
    <t>SCH 80</t>
  </si>
  <si>
    <t>(1.1/2")</t>
  </si>
  <si>
    <t>(2")</t>
  </si>
  <si>
    <t>F</t>
  </si>
  <si>
    <t>(2.1/2")</t>
  </si>
  <si>
    <t>G</t>
  </si>
  <si>
    <t>(3")</t>
  </si>
  <si>
    <t>H</t>
  </si>
  <si>
    <t>(3.1/2")</t>
  </si>
  <si>
    <t>I</t>
  </si>
  <si>
    <t>(4")</t>
  </si>
  <si>
    <t>J</t>
  </si>
  <si>
    <t>(6")</t>
  </si>
  <si>
    <t>K</t>
  </si>
  <si>
    <t>(8")</t>
  </si>
  <si>
    <t>EJES</t>
  </si>
  <si>
    <t>AB</t>
  </si>
  <si>
    <t>2.5</t>
  </si>
  <si>
    <t>035</t>
  </si>
  <si>
    <t>Casillas Opcionales. Sólo serán tenidas en cuenta</t>
  </si>
  <si>
    <t>para una selección de material NO estándar.</t>
  </si>
  <si>
    <t>DIAMETRO</t>
  </si>
  <si>
    <t>NOMINAL</t>
  </si>
  <si>
    <t>BRIDADO</t>
  </si>
  <si>
    <t>MOTOREDUCTOR</t>
  </si>
  <si>
    <t>Hasta tres cifras. En pulgadas.</t>
  </si>
  <si>
    <t>Tres cifras en mm</t>
  </si>
  <si>
    <t>P</t>
  </si>
  <si>
    <t>ACERO AL CARBON PAVONADO</t>
  </si>
  <si>
    <t>316SS</t>
  </si>
  <si>
    <t>ACERO AL CARBON</t>
  </si>
  <si>
    <t>Q</t>
  </si>
  <si>
    <t>RECUBRIMIENTO EN FIBRA DE VIDRIO</t>
  </si>
  <si>
    <t>Casilla opcional. Sólo será tenida en cuenta</t>
  </si>
  <si>
    <t>TIPO</t>
  </si>
  <si>
    <t>DIÁMETRO DE PROPELA</t>
  </si>
  <si>
    <t>DIÁMETRO NOMINAL EJE</t>
  </si>
  <si>
    <t>MONTAJE</t>
  </si>
  <si>
    <t>HELICE MARINA</t>
  </si>
  <si>
    <t>M</t>
  </si>
  <si>
    <t>MANZANA</t>
  </si>
  <si>
    <t>A36</t>
  </si>
  <si>
    <t>TURBINA</t>
  </si>
  <si>
    <t>020</t>
  </si>
  <si>
    <t>CASQUETE</t>
  </si>
  <si>
    <t>S6</t>
  </si>
  <si>
    <t>CURVA TRIPALA - CT</t>
  </si>
  <si>
    <t>030</t>
  </si>
  <si>
    <t>SOLDADA</t>
  </si>
  <si>
    <t>GRAN CAUDAL - GC</t>
  </si>
  <si>
    <t>BIPALA - CB</t>
  </si>
  <si>
    <t>040</t>
  </si>
  <si>
    <t>CURVA TRIPALA ESQUALIZABLE - CTE</t>
  </si>
  <si>
    <t>TURBINA TRIPALA - TT</t>
  </si>
  <si>
    <t>050</t>
  </si>
  <si>
    <t>CURVA TRIPALA COMBINADA - CTT</t>
  </si>
  <si>
    <t>COWLES - CW</t>
  </si>
  <si>
    <t>060</t>
  </si>
  <si>
    <t>GRAN CAUDAL ESCUALIZABLE - GCE</t>
  </si>
  <si>
    <t>070</t>
  </si>
  <si>
    <t>080</t>
  </si>
  <si>
    <t>L</t>
  </si>
  <si>
    <t>N</t>
  </si>
  <si>
    <t>O</t>
  </si>
  <si>
    <t>1"</t>
  </si>
  <si>
    <t>1 1/4"</t>
  </si>
  <si>
    <t>1 1/2"</t>
  </si>
  <si>
    <t>025</t>
  </si>
  <si>
    <t>032</t>
  </si>
  <si>
    <t>038</t>
  </si>
  <si>
    <t>Acero 304SS</t>
  </si>
  <si>
    <t>Acero 316SS</t>
  </si>
  <si>
    <t>CODIGO</t>
  </si>
  <si>
    <t>014</t>
  </si>
  <si>
    <t>090</t>
  </si>
  <si>
    <t>018</t>
  </si>
  <si>
    <t>-P</t>
  </si>
  <si>
    <t>-S</t>
  </si>
  <si>
    <t>-R</t>
  </si>
  <si>
    <t>-Q</t>
  </si>
  <si>
    <t>ACERO 304SS</t>
  </si>
  <si>
    <t>Acero inoxidable 304SS</t>
  </si>
  <si>
    <t>TIPO DE PROPELA</t>
  </si>
  <si>
    <t>N DE PROPELAS</t>
  </si>
  <si>
    <t>LONGITUD EJE</t>
  </si>
  <si>
    <t>VELOCIDAD</t>
  </si>
  <si>
    <t>TIPO DE AGITADOR</t>
  </si>
  <si>
    <t>ELEMENTO MOTRIZ</t>
  </si>
  <si>
    <t>LINTERNA</t>
  </si>
  <si>
    <t>SELLO MECANICO</t>
  </si>
  <si>
    <t>V</t>
  </si>
  <si>
    <t>VERTICAL</t>
  </si>
  <si>
    <t>160 mm</t>
  </si>
  <si>
    <t>XX en DECIMETROS</t>
  </si>
  <si>
    <t>xxx</t>
  </si>
  <si>
    <t>VELOCIDAD DIRECTA</t>
  </si>
  <si>
    <t>MOTOR NEUMATICO</t>
  </si>
  <si>
    <t>Con linterna</t>
  </si>
  <si>
    <t>Con sello</t>
  </si>
  <si>
    <t>HORIZONTAL</t>
  </si>
  <si>
    <t>X</t>
  </si>
  <si>
    <t>MOTOR ELECTRICO A PRUEBA DE EXPLOSIÓN</t>
  </si>
  <si>
    <t>110V (REVISAR)</t>
  </si>
  <si>
    <t>PINTURA EPOXICA</t>
  </si>
  <si>
    <t>CURVA TRIPALA ESQUALIZABLE - CE</t>
  </si>
  <si>
    <t>ESQUALIZABLE - CE</t>
  </si>
  <si>
    <t>T</t>
  </si>
  <si>
    <t>904 L</t>
  </si>
  <si>
    <t>ITC POLIPROPILENO</t>
  </si>
  <si>
    <t>U</t>
  </si>
  <si>
    <t>CODIFICACION AGITADOR</t>
  </si>
  <si>
    <t>SELECCIONAR TIPO</t>
  </si>
  <si>
    <t>TIPO DE PROPELAS</t>
  </si>
  <si>
    <t>NÚMERO DE PROPELAS</t>
  </si>
  <si>
    <t>PROPELA TIPO 2 (DE ARRIBA HACIA ABAJO)</t>
  </si>
  <si>
    <t>VELOCIDAD REDUCIDA</t>
  </si>
  <si>
    <t>Sin linterna</t>
  </si>
  <si>
    <t>TRIFASICO</t>
  </si>
  <si>
    <t>Sin sello</t>
  </si>
  <si>
    <t>904L</t>
  </si>
  <si>
    <t>FIBRA DE VIDRIO</t>
  </si>
  <si>
    <t>DIAMETRO (mm)</t>
  </si>
  <si>
    <t>NO APLICA</t>
  </si>
  <si>
    <t>POTENCIA (Kw)</t>
  </si>
  <si>
    <t>ESCRIBA VELOCIDAD (rpm)</t>
  </si>
  <si>
    <t>ADICIONALES</t>
  </si>
  <si>
    <t>MANEJO VELOCIDAD</t>
  </si>
  <si>
    <t xml:space="preserve">SELLO </t>
  </si>
  <si>
    <t>304SS</t>
  </si>
  <si>
    <t>NINGUNO</t>
  </si>
  <si>
    <t>W</t>
  </si>
  <si>
    <t>ACERO 316L SCH10</t>
  </si>
  <si>
    <t>WASH DOWN</t>
  </si>
  <si>
    <t>Z</t>
  </si>
  <si>
    <t>POLIPROPILENO</t>
  </si>
  <si>
    <t>POLIETILENO</t>
  </si>
  <si>
    <t>Y</t>
  </si>
  <si>
    <t>INVERT DUTY</t>
  </si>
  <si>
    <t>PROPELA TIPO 1 (DE ABAJO HACIA ARRIBA)</t>
  </si>
  <si>
    <t>(10")</t>
  </si>
  <si>
    <t>HIPERBOLICA</t>
  </si>
  <si>
    <t>(5")</t>
  </si>
  <si>
    <r>
      <t xml:space="preserve">ESCRIBA LONGITUD </t>
    </r>
    <r>
      <rPr>
        <b/>
        <sz val="14"/>
        <color rgb="FF000000"/>
        <rFont val="Calibri"/>
        <family val="2"/>
      </rPr>
      <t>EJE</t>
    </r>
    <r>
      <rPr>
        <b/>
        <sz val="11"/>
        <color rgb="FF000000"/>
        <rFont val="Calibri"/>
        <family val="2"/>
      </rPr>
      <t xml:space="preserve"> EN mm</t>
    </r>
  </si>
  <si>
    <t>ACABADO ESPEJO</t>
  </si>
  <si>
    <t>ACABADO - RECUBRIMIENTO</t>
  </si>
  <si>
    <t>P3-GEC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</si>
</sst>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\$* #,##0_-;&quot;-$&quot;* #,##0_-;_-\$* \-_-;_-@_-"/>
  </numFmts>
  <fonts count="2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1"/>
      <color theme="11"/>
      <name val="Calibri"/>
      <family val="2"/>
      <charset val="1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AFABAB"/>
      </patternFill>
    </fill>
    <fill>
      <patternFill patternType="solid">
        <fgColor rgb="FFFFFFFF"/>
        <bgColor rgb="FFF2F2F2"/>
      </patternFill>
    </fill>
    <fill>
      <patternFill patternType="solid">
        <fgColor rgb="FFA6A6A6"/>
        <bgColor rgb="FFAFABAB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AFABAB"/>
      </patternFill>
    </fill>
    <fill>
      <patternFill patternType="solid">
        <fgColor rgb="FFFFFF00"/>
        <bgColor indexed="64"/>
      </patternFill>
    </fill>
    <fill>
      <patternFill patternType="solid">
        <fgColor rgb="FFAFABAB"/>
        <bgColor rgb="FFA6A6A6"/>
      </patternFill>
    </fill>
    <fill>
      <patternFill patternType="solid">
        <fgColor rgb="FFF4B183"/>
        <bgColor rgb="FFFF99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7">
    <xf numFmtId="0" fontId="0" fillId="0" borderId="0"/>
    <xf numFmtId="165" fontId="4" fillId="0" borderId="0" applyBorder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9" fillId="6" borderId="0" xfId="0" applyFont="1" applyFill="1" applyAlignment="1">
      <alignment horizontal="center"/>
    </xf>
    <xf numFmtId="0" fontId="9" fillId="6" borderId="0" xfId="0" applyFont="1" applyFill="1"/>
    <xf numFmtId="0" fontId="9" fillId="5" borderId="12" xfId="0" applyFont="1" applyFill="1" applyBorder="1" applyAlignment="1">
      <alignment horizontal="center"/>
    </xf>
    <xf numFmtId="0" fontId="9" fillId="6" borderId="12" xfId="0" applyFont="1" applyFill="1" applyBorder="1"/>
    <xf numFmtId="0" fontId="9" fillId="5" borderId="12" xfId="0" applyFont="1" applyFill="1" applyBorder="1" applyAlignment="1">
      <alignment horizontal="left"/>
    </xf>
    <xf numFmtId="0" fontId="9" fillId="6" borderId="12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6" borderId="9" xfId="0" applyFont="1" applyFill="1" applyBorder="1"/>
    <xf numFmtId="0" fontId="9" fillId="5" borderId="9" xfId="0" applyFont="1" applyFill="1" applyBorder="1" applyAlignment="1">
      <alignment horizontal="left"/>
    </xf>
    <xf numFmtId="0" fontId="9" fillId="6" borderId="9" xfId="0" applyFont="1" applyFill="1" applyBorder="1" applyAlignment="1">
      <alignment horizontal="center"/>
    </xf>
    <xf numFmtId="0" fontId="0" fillId="6" borderId="0" xfId="0" applyFill="1"/>
    <xf numFmtId="0" fontId="10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0" fillId="7" borderId="8" xfId="0" applyFill="1" applyBorder="1"/>
    <xf numFmtId="0" fontId="0" fillId="7" borderId="5" xfId="0" applyFill="1" applyBorder="1"/>
    <xf numFmtId="0" fontId="2" fillId="7" borderId="5" xfId="0" applyFont="1" applyFill="1" applyBorder="1" applyAlignment="1">
      <alignment horizontal="center"/>
    </xf>
    <xf numFmtId="0" fontId="11" fillId="7" borderId="5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0" fillId="7" borderId="2" xfId="0" applyFill="1" applyBorder="1"/>
    <xf numFmtId="0" fontId="0" fillId="6" borderId="12" xfId="0" applyFill="1" applyBorder="1"/>
    <xf numFmtId="0" fontId="0" fillId="6" borderId="12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9" fillId="7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right"/>
    </xf>
    <xf numFmtId="0" fontId="3" fillId="5" borderId="12" xfId="0" applyFont="1" applyFill="1" applyBorder="1" applyAlignment="1">
      <alignment horizontal="center"/>
    </xf>
    <xf numFmtId="0" fontId="3" fillId="5" borderId="9" xfId="0" applyFont="1" applyFill="1" applyBorder="1" applyAlignment="1">
      <alignment vertical="center"/>
    </xf>
    <xf numFmtId="0" fontId="9" fillId="6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right"/>
    </xf>
    <xf numFmtId="0" fontId="3" fillId="5" borderId="9" xfId="0" applyFont="1" applyFill="1" applyBorder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quotePrefix="1" applyFill="1"/>
    <xf numFmtId="0" fontId="0" fillId="0" borderId="0" xfId="0" quotePrefix="1"/>
    <xf numFmtId="0" fontId="0" fillId="8" borderId="0" xfId="0" applyFill="1"/>
    <xf numFmtId="0" fontId="9" fillId="8" borderId="0" xfId="0" applyFont="1" applyFill="1"/>
    <xf numFmtId="0" fontId="9" fillId="9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6" borderId="0" xfId="0" quotePrefix="1" applyFill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0" fillId="0" borderId="9" xfId="0" applyBorder="1"/>
    <xf numFmtId="0" fontId="9" fillId="11" borderId="12" xfId="0" applyFont="1" applyFill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7" borderId="1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9" fillId="6" borderId="12" xfId="0" applyFont="1" applyFill="1" applyBorder="1" applyAlignment="1">
      <alignment horizontal="center" vertical="center"/>
    </xf>
    <xf numFmtId="0" fontId="0" fillId="7" borderId="1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7" borderId="19" xfId="0" applyFill="1" applyBorder="1"/>
    <xf numFmtId="0" fontId="9" fillId="7" borderId="12" xfId="0" applyFont="1" applyFill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0" fillId="7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9" fillId="7" borderId="9" xfId="0" applyFont="1" applyFill="1" applyBorder="1" applyAlignment="1">
      <alignment vertical="center"/>
    </xf>
    <xf numFmtId="0" fontId="9" fillId="6" borderId="9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 wrapText="1"/>
    </xf>
    <xf numFmtId="0" fontId="0" fillId="6" borderId="11" xfId="0" applyFill="1" applyBorder="1" applyAlignment="1">
      <alignment horizontal="center"/>
    </xf>
    <xf numFmtId="0" fontId="0" fillId="6" borderId="0" xfId="0" applyFill="1" applyAlignment="1">
      <alignment horizontal="center"/>
    </xf>
    <xf numFmtId="2" fontId="9" fillId="6" borderId="9" xfId="0" applyNumberFormat="1" applyFont="1" applyFill="1" applyBorder="1" applyAlignment="1">
      <alignment vertical="center"/>
    </xf>
    <xf numFmtId="0" fontId="9" fillId="12" borderId="9" xfId="0" applyFont="1" applyFill="1" applyBorder="1" applyAlignment="1">
      <alignment vertical="center"/>
    </xf>
    <xf numFmtId="0" fontId="0" fillId="7" borderId="10" xfId="0" applyFill="1" applyBorder="1" applyAlignment="1">
      <alignment horizontal="center"/>
    </xf>
    <xf numFmtId="2" fontId="9" fillId="6" borderId="10" xfId="0" applyNumberFormat="1" applyFont="1" applyFill="1" applyBorder="1" applyAlignment="1">
      <alignment vertical="center"/>
    </xf>
    <xf numFmtId="0" fontId="9" fillId="7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0" fillId="14" borderId="4" xfId="0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5" fillId="13" borderId="0" xfId="0" applyFont="1" applyFill="1" applyAlignment="1">
      <alignment horizontal="center"/>
    </xf>
    <xf numFmtId="0" fontId="15" fillId="14" borderId="22" xfId="0" applyFont="1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14" borderId="24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8" fillId="14" borderId="4" xfId="0" quotePrefix="1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14" borderId="0" xfId="0" applyFont="1" applyFill="1" applyAlignment="1">
      <alignment horizontal="center" vertical="center" wrapText="1"/>
    </xf>
    <xf numFmtId="0" fontId="0" fillId="14" borderId="3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8" fillId="10" borderId="14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/>
    </xf>
    <xf numFmtId="0" fontId="16" fillId="10" borderId="15" xfId="0" applyFont="1" applyFill="1" applyBorder="1" applyAlignment="1">
      <alignment horizontal="center"/>
    </xf>
    <xf numFmtId="0" fontId="16" fillId="10" borderId="13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6" fillId="3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12" fillId="7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5" borderId="14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</cellXfs>
  <cellStyles count="17">
    <cellStyle name="Hipervínculo" xfId="2" builtinId="8" hidden="1"/>
    <cellStyle name="Hipervínculo" xfId="4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 visitado" xfId="3" builtinId="9" hidden="1"/>
    <cellStyle name="Hipervínculo visitado" xfId="5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Normal" xfId="0" builtinId="0"/>
    <cellStyle name="Normal 2" xfId="6" xr:uid="{00000000-0005-0000-0000-000011000000}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8"/>
  <sheetViews>
    <sheetView tabSelected="1" zoomScale="85" zoomScaleNormal="85" workbookViewId="0">
      <selection activeCell="I15" sqref="I15"/>
    </sheetView>
  </sheetViews>
  <sheetFormatPr baseColWidth="10" defaultRowHeight="15" x14ac:dyDescent="0.25"/>
  <cols>
    <col min="1" max="1" width="38.28515625" customWidth="1"/>
    <col min="2" max="2" width="40.7109375" customWidth="1"/>
    <col min="3" max="3" width="33.42578125" bestFit="1" customWidth="1"/>
    <col min="4" max="4" width="32.85546875" bestFit="1" customWidth="1"/>
    <col min="5" max="5" width="31.140625" bestFit="1" customWidth="1"/>
    <col min="7" max="7" width="16.42578125" customWidth="1"/>
    <col min="15" max="15" width="24.140625" customWidth="1"/>
  </cols>
  <sheetData>
    <row r="1" spans="1:38" ht="23.25" x14ac:dyDescent="0.35">
      <c r="A1" s="97"/>
      <c r="B1" s="98"/>
      <c r="C1" s="98"/>
      <c r="D1" s="98"/>
      <c r="E1" s="98"/>
      <c r="F1" s="98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38" ht="24" thickBot="1" x14ac:dyDescent="0.4">
      <c r="A2" s="99" t="s">
        <v>145</v>
      </c>
      <c r="B2" s="117"/>
      <c r="C2" s="2"/>
      <c r="D2" s="2"/>
      <c r="E2" s="2"/>
      <c r="F2" s="98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38" ht="23.1" customHeight="1" thickBot="1" x14ac:dyDescent="0.4">
      <c r="A3" s="100"/>
      <c r="B3" s="101"/>
      <c r="C3" s="101"/>
      <c r="D3" s="101"/>
      <c r="E3" s="102"/>
      <c r="F3" s="98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38" ht="23.1" customHeight="1" thickBot="1" x14ac:dyDescent="0.35">
      <c r="A4" s="103"/>
      <c r="B4" s="118" t="s">
        <v>173</v>
      </c>
      <c r="C4" s="119"/>
      <c r="D4" s="120"/>
      <c r="E4" s="104"/>
      <c r="F4" s="98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38" ht="23.1" customHeight="1" thickBot="1" x14ac:dyDescent="0.3">
      <c r="A5" s="116" t="s">
        <v>146</v>
      </c>
      <c r="B5" s="116" t="s">
        <v>147</v>
      </c>
      <c r="C5" s="116" t="s">
        <v>148</v>
      </c>
      <c r="D5" s="116" t="s">
        <v>156</v>
      </c>
      <c r="E5" s="91"/>
      <c r="F5" s="98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38" ht="23.1" customHeight="1" thickBot="1" x14ac:dyDescent="0.3">
      <c r="A6" s="111" t="s">
        <v>126</v>
      </c>
      <c r="B6" s="111" t="s">
        <v>84</v>
      </c>
      <c r="C6" s="111">
        <v>2</v>
      </c>
      <c r="D6" s="111">
        <v>800</v>
      </c>
      <c r="E6" s="104" t="s">
        <v>180</v>
      </c>
      <c r="F6" s="98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38" ht="23.1" customHeight="1" thickBot="1" x14ac:dyDescent="0.3">
      <c r="A7" s="112"/>
      <c r="B7" s="113"/>
      <c r="C7" s="113"/>
      <c r="D7" s="113"/>
      <c r="E7" s="105"/>
      <c r="F7" s="98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38" ht="23.1" customHeight="1" thickBot="1" x14ac:dyDescent="0.3">
      <c r="A8" s="112"/>
      <c r="B8" s="125" t="s">
        <v>149</v>
      </c>
      <c r="C8" s="126"/>
      <c r="D8" s="127"/>
      <c r="E8" s="106"/>
      <c r="F8" s="98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</row>
    <row r="9" spans="1:38" ht="23.1" customHeight="1" thickBot="1" x14ac:dyDescent="0.3">
      <c r="A9" s="112"/>
      <c r="B9" s="116" t="s">
        <v>147</v>
      </c>
      <c r="C9" s="116" t="s">
        <v>148</v>
      </c>
      <c r="D9" s="116" t="s">
        <v>56</v>
      </c>
      <c r="E9" s="106"/>
      <c r="F9" s="98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38" ht="23.1" customHeight="1" thickBot="1" x14ac:dyDescent="0.45">
      <c r="A10" s="114"/>
      <c r="B10" s="111" t="s">
        <v>139</v>
      </c>
      <c r="C10" s="111">
        <v>1</v>
      </c>
      <c r="D10" s="111">
        <v>300</v>
      </c>
      <c r="E10" s="104"/>
      <c r="F10" s="2"/>
      <c r="G10" s="128" t="s">
        <v>107</v>
      </c>
      <c r="H10" s="129"/>
      <c r="I10" s="129"/>
      <c r="J10" s="130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38" ht="23.1" customHeight="1" thickBot="1" x14ac:dyDescent="0.45">
      <c r="A11" s="114"/>
      <c r="B11" s="115"/>
      <c r="C11" s="115"/>
      <c r="D11" s="115"/>
      <c r="E11" s="104"/>
      <c r="F11" s="2"/>
      <c r="G11" s="121" t="str">
        <f>CONCATENATE(VLOOKUP(A6,'HERR CODS'!A83:B84,2,FALSE),VLOOKUP(B6,'HERR CODS'!C91:D101,2,FALSE),VLOOKUP(C6,'HERR CODS'!E92:F96,2,FALSE),VLOOKUP(D6,'HERR CODS'!G102:H128,2,FALSE),VLOOKUP(B10,'HERR CODS'!C91:D101,2,FALSE),IF(B10="NO APLICA",,VLOOKUP(C10,'HERR CODS'!E92:F96,2,FALSE)),IF(B10="NO APLICA","-",VLOOKUP(D10,'HERR CODS'!G102:H128,2,FALSE)),IF(B13/100&lt;10,CONCATENATE("0",B13/100),B13/100),VLOOKUP(C13,'HERR CODS'!Q103:R124,2,FALSE),IF(D13&lt;100,CONCATENATE("0",D13),D13),VLOOKUP(B17,'HERR CODS'!U90:V91,2,FALSE),VLOOKUP(C17,'HERR CODS'!W90:X95,2,FALSE),VLOOKUP(CODIFICADOR!D17,'HERR CODS'!Y90:Z91,2,FALSE),VLOOKUP(CODIFICADOR!B19,'HERR CODS'!AA90:AB91,2,FALSE),VLOOKUP(CODIFICADOR!C19,'HERR CODS'!AC90:AD93,2,FALSE),VLOOKUP(D19,'HERR CODS'!AE89:AF95,2,FALSE))</f>
        <v>V4BJ6AC40O200LT</v>
      </c>
      <c r="H11" s="122"/>
      <c r="I11" s="122"/>
      <c r="J11" s="123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AI11" s="121"/>
      <c r="AJ11" s="122"/>
      <c r="AK11" s="122"/>
      <c r="AL11" s="123"/>
    </row>
    <row r="12" spans="1:38" ht="23.1" customHeight="1" thickBot="1" x14ac:dyDescent="0.3">
      <c r="A12" s="114"/>
      <c r="B12" s="116" t="s">
        <v>177</v>
      </c>
      <c r="C12" s="116" t="s">
        <v>158</v>
      </c>
      <c r="D12" s="116" t="s">
        <v>159</v>
      </c>
      <c r="E12" s="104"/>
      <c r="F12" s="2"/>
      <c r="G12" s="131"/>
      <c r="H12" s="131"/>
      <c r="I12" s="131"/>
      <c r="J12" s="131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38" ht="23.1" customHeight="1" thickBot="1" x14ac:dyDescent="0.45">
      <c r="A13" s="114"/>
      <c r="B13" s="111">
        <v>4000</v>
      </c>
      <c r="C13" s="111">
        <v>15</v>
      </c>
      <c r="D13" s="111">
        <v>200</v>
      </c>
      <c r="E13" s="104"/>
      <c r="F13" s="2"/>
      <c r="G13" s="132"/>
      <c r="H13" s="132"/>
      <c r="I13" s="132"/>
      <c r="J13" s="13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38" ht="23.1" customHeight="1" thickBot="1" x14ac:dyDescent="0.3">
      <c r="A14" s="114"/>
      <c r="B14" s="115"/>
      <c r="C14" s="115"/>
      <c r="D14" s="115"/>
      <c r="E14" s="104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38" ht="23.1" customHeight="1" thickBot="1" x14ac:dyDescent="0.3">
      <c r="A15" s="114"/>
      <c r="B15" s="125" t="s">
        <v>160</v>
      </c>
      <c r="C15" s="126"/>
      <c r="D15" s="127"/>
      <c r="E15" s="104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38" ht="23.1" customHeight="1" thickBot="1" x14ac:dyDescent="0.45">
      <c r="A16" s="114"/>
      <c r="B16" s="116" t="s">
        <v>161</v>
      </c>
      <c r="C16" s="116" t="s">
        <v>122</v>
      </c>
      <c r="D16" s="116" t="s">
        <v>123</v>
      </c>
      <c r="E16" s="104"/>
      <c r="F16" s="2"/>
      <c r="G16" s="2"/>
      <c r="H16" s="124"/>
      <c r="I16" s="124"/>
      <c r="J16" s="124"/>
      <c r="K16" s="124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3.1" customHeight="1" thickBot="1" x14ac:dyDescent="0.3">
      <c r="A17" s="114"/>
      <c r="B17" s="111" t="s">
        <v>150</v>
      </c>
      <c r="C17" s="111" t="s">
        <v>152</v>
      </c>
      <c r="D17" s="111" t="s">
        <v>132</v>
      </c>
      <c r="E17" s="104"/>
      <c r="F17" s="2"/>
      <c r="G17" s="2"/>
      <c r="H17" s="2"/>
      <c r="I17" s="2"/>
      <c r="J17" s="2"/>
      <c r="K17" s="2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30.75" customHeight="1" thickBot="1" x14ac:dyDescent="0.3">
      <c r="A18" s="114"/>
      <c r="B18" s="116" t="s">
        <v>162</v>
      </c>
      <c r="C18" s="116" t="s">
        <v>16</v>
      </c>
      <c r="D18" s="116" t="s">
        <v>179</v>
      </c>
      <c r="E18" s="104"/>
      <c r="F18" s="2"/>
      <c r="G18" s="2"/>
      <c r="H18" s="2"/>
      <c r="I18" s="2"/>
      <c r="J18" s="2"/>
      <c r="K18" s="2"/>
      <c r="L18" s="3"/>
      <c r="M18" s="3"/>
      <c r="N18" s="3"/>
      <c r="O18" s="3"/>
    </row>
    <row r="19" spans="1:21" ht="23.1" customHeight="1" thickBot="1" x14ac:dyDescent="0.3">
      <c r="A19" s="114"/>
      <c r="B19" s="111" t="s">
        <v>153</v>
      </c>
      <c r="C19" s="111" t="s">
        <v>154</v>
      </c>
      <c r="D19" s="111" t="s">
        <v>164</v>
      </c>
      <c r="E19" s="104"/>
      <c r="F19" s="2"/>
      <c r="G19" s="2"/>
      <c r="H19" s="2"/>
      <c r="I19" s="2"/>
      <c r="J19" s="2"/>
      <c r="K19" s="2"/>
      <c r="L19" s="3"/>
      <c r="M19" s="3"/>
      <c r="N19" s="3"/>
      <c r="O19" s="3"/>
    </row>
    <row r="20" spans="1:21" x14ac:dyDescent="0.25">
      <c r="A20" s="103"/>
      <c r="B20" s="107"/>
      <c r="C20" s="107"/>
      <c r="D20" s="107"/>
      <c r="E20" s="104"/>
      <c r="F20" s="2"/>
      <c r="G20" s="2"/>
      <c r="H20" s="2"/>
      <c r="I20" s="2"/>
      <c r="J20" s="2"/>
      <c r="K20" s="2"/>
      <c r="L20" s="3"/>
      <c r="M20" s="3"/>
      <c r="N20" s="3"/>
      <c r="O20" s="3"/>
    </row>
    <row r="21" spans="1:21" ht="15.75" thickBot="1" x14ac:dyDescent="0.3">
      <c r="A21" s="108"/>
      <c r="B21" s="109"/>
      <c r="C21" s="109"/>
      <c r="D21" s="109"/>
      <c r="E21" s="110"/>
      <c r="F21" s="2"/>
      <c r="G21" s="2"/>
      <c r="H21" s="2"/>
      <c r="I21" s="2"/>
      <c r="J21" s="2"/>
      <c r="K21" s="2"/>
      <c r="L21" s="3"/>
      <c r="M21" s="3"/>
      <c r="N21" s="3"/>
      <c r="O21" s="3"/>
    </row>
    <row r="22" spans="1:2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3"/>
      <c r="N22" s="3"/>
      <c r="O22" s="3"/>
    </row>
    <row r="23" spans="1:2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2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2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2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2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2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</sheetData>
  <mergeCells count="9">
    <mergeCell ref="AI11:AL11"/>
    <mergeCell ref="H16:K16"/>
    <mergeCell ref="B8:D8"/>
    <mergeCell ref="B15:D15"/>
    <mergeCell ref="G10:J10"/>
    <mergeCell ref="G11:J11"/>
    <mergeCell ref="G12:J12"/>
    <mergeCell ref="G13:J13"/>
    <mergeCell ref="B4:D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00000000-0002-0000-0000-00000A000000}">
          <x14:formula1>
            <xm:f>'HERR CODS'!$A$83:$A$84</xm:f>
          </x14:formula1>
          <xm:sqref>A6</xm:sqref>
        </x14:dataValidation>
        <x14:dataValidation type="list" allowBlank="1" showInputMessage="1" showErrorMessage="1" xr:uid="{00000000-0002-0000-0000-00000B000000}">
          <x14:formula1>
            <xm:f>'HERR CODS'!$C$91:$C$100</xm:f>
          </x14:formula1>
          <xm:sqref>B6</xm:sqref>
        </x14:dataValidation>
        <x14:dataValidation type="list" allowBlank="1" showInputMessage="1" showErrorMessage="1" xr:uid="{00000000-0002-0000-0000-00000C000000}">
          <x14:formula1>
            <xm:f>'HERR CODS'!$E$92:$E$95</xm:f>
          </x14:formula1>
          <xm:sqref>C6</xm:sqref>
        </x14:dataValidation>
        <x14:dataValidation type="list" allowBlank="1" showInputMessage="1" showErrorMessage="1" xr:uid="{00000000-0002-0000-0000-00000D000000}">
          <x14:formula1>
            <xm:f>'HERR CODS'!$C$91:$C$101</xm:f>
          </x14:formula1>
          <xm:sqref>B10</xm:sqref>
        </x14:dataValidation>
        <x14:dataValidation type="list" allowBlank="1" showInputMessage="1" showErrorMessage="1" xr:uid="{00000000-0002-0000-0000-00000E000000}">
          <x14:formula1>
            <xm:f>'HERR CODS'!$E$92:$E$96</xm:f>
          </x14:formula1>
          <xm:sqref>C10</xm:sqref>
        </x14:dataValidation>
        <x14:dataValidation type="list" allowBlank="1" showInputMessage="1" showErrorMessage="1" xr:uid="{00000000-0002-0000-0000-00000F000000}">
          <x14:formula1>
            <xm:f>'HERR CODS'!$Q$103:$Q$124</xm:f>
          </x14:formula1>
          <xm:sqref>C13</xm:sqref>
        </x14:dataValidation>
        <x14:dataValidation type="list" allowBlank="1" showInputMessage="1" showErrorMessage="1" xr:uid="{00000000-0002-0000-0000-000010000000}">
          <x14:formula1>
            <xm:f>'HERR CODS'!$U$90:$U$91</xm:f>
          </x14:formula1>
          <xm:sqref>B17</xm:sqref>
        </x14:dataValidation>
        <x14:dataValidation type="list" allowBlank="1" showInputMessage="1" showErrorMessage="1" xr:uid="{00000000-0002-0000-0000-000011000000}">
          <x14:formula1>
            <xm:f>'HERR CODS'!$Y$90:$Y$91</xm:f>
          </x14:formula1>
          <xm:sqref>D17</xm:sqref>
        </x14:dataValidation>
        <x14:dataValidation type="list" allowBlank="1" showInputMessage="1" showErrorMessage="1" xr:uid="{00000000-0002-0000-0000-000012000000}">
          <x14:formula1>
            <xm:f>'HERR CODS'!$AA$90:$AA$91</xm:f>
          </x14:formula1>
          <xm:sqref>B19</xm:sqref>
        </x14:dataValidation>
        <x14:dataValidation type="list" allowBlank="1" showInputMessage="1" showErrorMessage="1" xr:uid="{00000000-0002-0000-0000-000013000000}">
          <x14:formula1>
            <xm:f>'HERR CODS'!$AC$90:$AC$93</xm:f>
          </x14:formula1>
          <xm:sqref>C19</xm:sqref>
        </x14:dataValidation>
        <x14:dataValidation type="list" allowBlank="1" showInputMessage="1" showErrorMessage="1" xr:uid="{00000000-0002-0000-0000-000014000000}">
          <x14:formula1>
            <xm:f>'HERR CODS'!$W$90:$W$95</xm:f>
          </x14:formula1>
          <xm:sqref>C17</xm:sqref>
        </x14:dataValidation>
        <x14:dataValidation type="list" allowBlank="1" showInputMessage="1" showErrorMessage="1" xr:uid="{00000000-0002-0000-0000-000017000000}">
          <x14:formula1>
            <xm:f>'HERR CODS'!$G$102:$G$128</xm:f>
          </x14:formula1>
          <xm:sqref>D6 D10</xm:sqref>
        </x14:dataValidation>
        <x14:dataValidation type="list" allowBlank="1" showInputMessage="1" showErrorMessage="1" xr:uid="{00000000-0002-0000-0000-000019000000}">
          <x14:formula1>
            <xm:f>'HERR CODS'!$AE$89:$AE$95</xm:f>
          </x14:formula1>
          <xm:sqref>D19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8"/>
  <sheetViews>
    <sheetView topLeftCell="A106" workbookViewId="0">
      <selection activeCell="I56" sqref="F55:I56"/>
    </sheetView>
  </sheetViews>
  <sheetFormatPr baseColWidth="10" defaultRowHeight="15" x14ac:dyDescent="0.25"/>
  <cols>
    <col min="1" max="1" width="42.42578125" customWidth="1"/>
    <col min="3" max="3" width="24.42578125" customWidth="1"/>
    <col min="4" max="4" width="20.42578125" customWidth="1"/>
    <col min="8" max="8" width="58.42578125" customWidth="1"/>
    <col min="9" max="9" width="11.85546875" bestFit="1" customWidth="1"/>
    <col min="11" max="11" width="13.28515625" customWidth="1"/>
    <col min="12" max="12" width="11.85546875" customWidth="1"/>
    <col min="13" max="13" width="22.28515625" customWidth="1"/>
    <col min="31" max="31" width="17.140625" bestFit="1" customWidth="1"/>
  </cols>
  <sheetData>
    <row r="1" spans="1:24" ht="16.5" thickBot="1" x14ac:dyDescent="0.3">
      <c r="A1" s="137" t="s">
        <v>11</v>
      </c>
      <c r="B1" s="137"/>
      <c r="C1" s="138" t="s">
        <v>12</v>
      </c>
      <c r="D1" s="138"/>
      <c r="E1" s="133" t="s">
        <v>13</v>
      </c>
      <c r="F1" s="133"/>
      <c r="G1" s="133" t="s">
        <v>14</v>
      </c>
      <c r="H1" s="133"/>
      <c r="I1" s="133" t="s">
        <v>15</v>
      </c>
      <c r="J1" s="133"/>
      <c r="K1" s="134" t="s">
        <v>16</v>
      </c>
      <c r="L1" s="13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x14ac:dyDescent="0.25">
      <c r="A2" s="4"/>
      <c r="B2" s="5"/>
      <c r="C2" s="11" t="s">
        <v>58</v>
      </c>
      <c r="D2" s="10" t="s">
        <v>17</v>
      </c>
      <c r="E2" s="7" t="s">
        <v>20</v>
      </c>
      <c r="F2" s="7" t="s">
        <v>19</v>
      </c>
      <c r="G2" s="139" t="s">
        <v>21</v>
      </c>
      <c r="H2" s="139"/>
      <c r="I2" s="9" t="s">
        <v>22</v>
      </c>
      <c r="J2" s="8" t="s">
        <v>19</v>
      </c>
      <c r="K2" s="7" t="s">
        <v>24</v>
      </c>
      <c r="L2" s="6" t="s">
        <v>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x14ac:dyDescent="0.25">
      <c r="A3" s="4"/>
      <c r="B3" s="5"/>
      <c r="C3" s="11" t="s">
        <v>26</v>
      </c>
      <c r="D3" s="10" t="s">
        <v>25</v>
      </c>
      <c r="E3" s="11" t="s">
        <v>27</v>
      </c>
      <c r="F3" s="11" t="s">
        <v>17</v>
      </c>
      <c r="G3" s="140" t="s">
        <v>28</v>
      </c>
      <c r="H3" s="140"/>
      <c r="I3" s="13" t="s">
        <v>29</v>
      </c>
      <c r="J3" s="12" t="s">
        <v>17</v>
      </c>
      <c r="K3" s="11" t="s">
        <v>106</v>
      </c>
      <c r="L3" s="10" t="s">
        <v>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x14ac:dyDescent="0.25">
      <c r="A4" s="5"/>
      <c r="B4" s="5"/>
      <c r="C4" s="50"/>
      <c r="D4" s="50"/>
      <c r="E4" s="11" t="s">
        <v>33</v>
      </c>
      <c r="F4" s="11" t="s">
        <v>32</v>
      </c>
      <c r="G4" s="4"/>
      <c r="H4" s="5"/>
      <c r="I4" s="13" t="s">
        <v>34</v>
      </c>
      <c r="J4" s="12" t="s">
        <v>32</v>
      </c>
      <c r="K4" s="11" t="s">
        <v>105</v>
      </c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x14ac:dyDescent="0.25">
      <c r="A5" s="7"/>
      <c r="C5" s="50"/>
      <c r="D5" s="51"/>
      <c r="E5" s="11" t="s">
        <v>35</v>
      </c>
      <c r="F5" s="11" t="s">
        <v>25</v>
      </c>
      <c r="G5" s="14"/>
      <c r="H5" s="14"/>
      <c r="I5" s="13" t="s">
        <v>36</v>
      </c>
      <c r="J5" s="12" t="s">
        <v>25</v>
      </c>
      <c r="K5" s="3"/>
      <c r="L5" s="4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x14ac:dyDescent="0.25">
      <c r="A6" s="14"/>
      <c r="C6" s="50"/>
      <c r="D6" s="51"/>
      <c r="E6" s="14"/>
      <c r="F6" s="14"/>
      <c r="G6" s="14"/>
      <c r="H6" s="14"/>
      <c r="I6" s="13" t="s">
        <v>37</v>
      </c>
      <c r="J6" s="12" t="s">
        <v>10</v>
      </c>
      <c r="K6" s="3"/>
      <c r="L6" s="4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x14ac:dyDescent="0.25">
      <c r="A7" s="14"/>
      <c r="B7" s="14"/>
      <c r="C7" s="49"/>
      <c r="D7" s="49"/>
      <c r="E7" s="49"/>
      <c r="F7" s="3"/>
      <c r="G7" s="49"/>
      <c r="H7" s="14"/>
      <c r="I7" s="13" t="s">
        <v>39</v>
      </c>
      <c r="J7" s="12" t="s">
        <v>38</v>
      </c>
      <c r="K7" s="3"/>
      <c r="L7" s="4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x14ac:dyDescent="0.25">
      <c r="A8" s="14"/>
      <c r="B8" s="14"/>
      <c r="C8" s="14"/>
      <c r="D8" s="14"/>
      <c r="E8" s="49"/>
      <c r="F8" s="3"/>
      <c r="G8" s="49"/>
      <c r="H8" s="14"/>
      <c r="I8" s="13" t="s">
        <v>41</v>
      </c>
      <c r="J8" s="12" t="s">
        <v>40</v>
      </c>
      <c r="K8" s="49"/>
      <c r="L8" s="4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x14ac:dyDescent="0.25">
      <c r="A9" s="14"/>
      <c r="B9" s="14"/>
      <c r="C9" s="14"/>
      <c r="D9" s="14"/>
      <c r="E9" s="49"/>
      <c r="F9" s="3"/>
      <c r="G9" s="49"/>
      <c r="H9" s="14"/>
      <c r="I9" s="13" t="s">
        <v>43</v>
      </c>
      <c r="J9" s="12" t="s">
        <v>42</v>
      </c>
      <c r="K9" s="49"/>
      <c r="L9" s="4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x14ac:dyDescent="0.25">
      <c r="A10" s="14"/>
      <c r="B10" s="14"/>
      <c r="C10" s="14"/>
      <c r="D10" s="14"/>
      <c r="E10" s="14" t="s">
        <v>50</v>
      </c>
      <c r="G10" s="14"/>
      <c r="H10" s="14"/>
      <c r="I10" s="13" t="s">
        <v>45</v>
      </c>
      <c r="J10" s="12" t="s">
        <v>44</v>
      </c>
      <c r="K10" s="49"/>
      <c r="L10" s="4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x14ac:dyDescent="0.25">
      <c r="A11" s="14"/>
      <c r="B11" s="14"/>
      <c r="C11" s="14"/>
      <c r="D11" s="14"/>
      <c r="E11" s="14"/>
      <c r="F11" s="14"/>
      <c r="G11" s="14"/>
      <c r="H11" s="14"/>
      <c r="I11" s="13" t="s">
        <v>176</v>
      </c>
      <c r="J11" s="12" t="s">
        <v>74</v>
      </c>
      <c r="K11" s="49"/>
      <c r="L11" s="4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x14ac:dyDescent="0.25">
      <c r="A12" s="14"/>
      <c r="B12" s="14"/>
      <c r="C12" s="14"/>
      <c r="D12" s="14"/>
      <c r="E12" s="14"/>
      <c r="F12" s="14"/>
      <c r="G12" s="14"/>
      <c r="H12" s="14"/>
      <c r="I12" s="13" t="s">
        <v>47</v>
      </c>
      <c r="J12" s="12" t="s">
        <v>46</v>
      </c>
      <c r="K12" s="49"/>
      <c r="L12" s="4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x14ac:dyDescent="0.25">
      <c r="A13" s="14"/>
      <c r="B13" s="14"/>
      <c r="C13" s="14"/>
      <c r="D13" s="14"/>
      <c r="E13" s="14"/>
      <c r="F13" s="14"/>
      <c r="G13" s="14"/>
      <c r="H13" s="14"/>
      <c r="I13" s="13" t="s">
        <v>49</v>
      </c>
      <c r="J13" s="12" t="s">
        <v>48</v>
      </c>
      <c r="K13" s="49"/>
      <c r="L13" s="4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.5" thickBot="1" x14ac:dyDescent="0.3">
      <c r="I14" s="13" t="s">
        <v>174</v>
      </c>
      <c r="J14" s="12" t="s">
        <v>96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9.25" thickBot="1" x14ac:dyDescent="0.5">
      <c r="A15" s="15" t="s">
        <v>51</v>
      </c>
      <c r="B15" s="16" t="s">
        <v>0</v>
      </c>
      <c r="C15" s="17" t="s">
        <v>52</v>
      </c>
      <c r="D15" s="16" t="s">
        <v>0</v>
      </c>
      <c r="E15" s="16" t="s">
        <v>53</v>
      </c>
      <c r="F15" s="16" t="s">
        <v>0</v>
      </c>
      <c r="G15" s="141" t="s">
        <v>30</v>
      </c>
      <c r="H15" s="14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14"/>
      <c r="B16" s="14"/>
      <c r="C16" s="14"/>
      <c r="D16" s="14"/>
      <c r="E16" s="14"/>
      <c r="F16" s="14"/>
      <c r="G16" s="14"/>
      <c r="H16" s="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thickBot="1" x14ac:dyDescent="0.3">
      <c r="A17" s="14"/>
      <c r="B17" s="14"/>
      <c r="C17" s="14"/>
      <c r="D17" s="14"/>
      <c r="E17" s="14"/>
      <c r="F17" s="14"/>
      <c r="G17" s="14"/>
      <c r="H17" s="1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8.5" x14ac:dyDescent="0.45">
      <c r="A18" s="18"/>
      <c r="B18" t="s">
        <v>9</v>
      </c>
      <c r="C18" s="18"/>
      <c r="D18" s="19"/>
      <c r="E18" s="19"/>
      <c r="F18" s="142" t="s">
        <v>54</v>
      </c>
      <c r="G18" s="142"/>
      <c r="H18" s="142"/>
    </row>
    <row r="19" spans="1:24" ht="15.75" thickBot="1" x14ac:dyDescent="0.3">
      <c r="A19" s="14"/>
      <c r="B19" s="14"/>
      <c r="C19" s="14"/>
      <c r="D19" s="14"/>
      <c r="E19" s="14"/>
      <c r="F19" s="143" t="s">
        <v>55</v>
      </c>
      <c r="G19" s="143"/>
      <c r="H19" s="143"/>
    </row>
    <row r="20" spans="1:24" ht="19.5" thickBot="1" x14ac:dyDescent="0.35">
      <c r="A20" s="20" t="s">
        <v>12</v>
      </c>
      <c r="B20" s="135" t="s">
        <v>0</v>
      </c>
      <c r="C20" s="21" t="s">
        <v>56</v>
      </c>
      <c r="D20" s="22"/>
      <c r="E20" s="21" t="s">
        <v>56</v>
      </c>
      <c r="F20" s="22"/>
      <c r="G20" s="136" t="s">
        <v>16</v>
      </c>
      <c r="H20" s="136"/>
    </row>
    <row r="21" spans="1:24" ht="29.25" thickBot="1" x14ac:dyDescent="0.5">
      <c r="A21" s="23"/>
      <c r="B21" s="135"/>
      <c r="C21" s="24" t="s">
        <v>57</v>
      </c>
      <c r="D21" s="25" t="s">
        <v>0</v>
      </c>
      <c r="E21" s="24" t="s">
        <v>11</v>
      </c>
      <c r="F21" s="25" t="s">
        <v>0</v>
      </c>
      <c r="G21" s="136"/>
      <c r="H21" s="136"/>
    </row>
    <row r="22" spans="1:24" ht="19.5" thickBot="1" x14ac:dyDescent="0.35">
      <c r="A22" s="26" t="s">
        <v>58</v>
      </c>
      <c r="B22" s="135"/>
      <c r="C22" s="27" t="s">
        <v>18</v>
      </c>
      <c r="D22" s="28"/>
      <c r="E22" s="27" t="s">
        <v>59</v>
      </c>
      <c r="F22" s="28"/>
      <c r="G22" s="136"/>
      <c r="H22" s="136"/>
    </row>
    <row r="23" spans="1:24" x14ac:dyDescent="0.25">
      <c r="A23" s="14"/>
      <c r="B23" s="14"/>
      <c r="C23" s="29" t="s">
        <v>60</v>
      </c>
      <c r="D23" s="14"/>
      <c r="E23" s="30" t="s">
        <v>61</v>
      </c>
      <c r="F23" s="14"/>
      <c r="G23" s="31" t="s">
        <v>62</v>
      </c>
      <c r="H23" s="29" t="s">
        <v>63</v>
      </c>
    </row>
    <row r="24" spans="1:24" ht="15.75" x14ac:dyDescent="0.25">
      <c r="A24" s="14"/>
      <c r="B24" s="14" t="s">
        <v>2</v>
      </c>
      <c r="C24" s="14">
        <v>2</v>
      </c>
      <c r="D24" s="14"/>
      <c r="E24" s="14">
        <v>14</v>
      </c>
      <c r="F24" s="53" t="s">
        <v>108</v>
      </c>
      <c r="G24" s="32" t="s">
        <v>30</v>
      </c>
      <c r="H24" s="33" t="s">
        <v>64</v>
      </c>
    </row>
    <row r="25" spans="1:24" ht="15.75" x14ac:dyDescent="0.25">
      <c r="A25" s="14"/>
      <c r="B25" s="14" t="s">
        <v>3</v>
      </c>
      <c r="C25" s="46" t="s">
        <v>52</v>
      </c>
      <c r="D25" s="14"/>
      <c r="E25" s="14">
        <v>18</v>
      </c>
      <c r="F25" s="53" t="s">
        <v>110</v>
      </c>
      <c r="G25" s="32" t="s">
        <v>23</v>
      </c>
      <c r="H25" s="34" t="s">
        <v>65</v>
      </c>
    </row>
    <row r="26" spans="1:24" ht="18" customHeight="1" x14ac:dyDescent="0.25">
      <c r="A26" s="14"/>
      <c r="B26" t="s">
        <v>4</v>
      </c>
      <c r="C26">
        <v>3</v>
      </c>
      <c r="D26" s="14"/>
      <c r="E26" s="14">
        <v>20</v>
      </c>
      <c r="F26" s="53" t="s">
        <v>78</v>
      </c>
      <c r="G26" s="32" t="s">
        <v>66</v>
      </c>
      <c r="H26" s="34" t="s">
        <v>67</v>
      </c>
      <c r="P26" s="14">
        <v>20</v>
      </c>
      <c r="Q26" s="53">
        <v>20</v>
      </c>
    </row>
    <row r="27" spans="1:24" x14ac:dyDescent="0.25">
      <c r="B27" t="s">
        <v>1</v>
      </c>
      <c r="C27">
        <v>4</v>
      </c>
      <c r="E27" s="14">
        <v>25</v>
      </c>
      <c r="F27" s="54" t="s">
        <v>102</v>
      </c>
      <c r="P27" s="14">
        <v>25</v>
      </c>
      <c r="Q27" s="54">
        <v>25</v>
      </c>
    </row>
    <row r="28" spans="1:24" x14ac:dyDescent="0.25">
      <c r="B28" s="14" t="s">
        <v>5</v>
      </c>
      <c r="C28">
        <v>6</v>
      </c>
      <c r="E28" s="14">
        <v>30</v>
      </c>
      <c r="F28" s="54" t="s">
        <v>82</v>
      </c>
      <c r="P28" s="14">
        <v>30</v>
      </c>
      <c r="Q28" s="54">
        <v>30</v>
      </c>
    </row>
    <row r="29" spans="1:24" x14ac:dyDescent="0.25">
      <c r="B29" s="14" t="s">
        <v>6</v>
      </c>
      <c r="C29">
        <v>8</v>
      </c>
      <c r="E29" s="14">
        <v>35</v>
      </c>
      <c r="F29" s="54" t="s">
        <v>53</v>
      </c>
      <c r="P29" s="14">
        <v>35</v>
      </c>
      <c r="Q29" s="54">
        <v>35</v>
      </c>
    </row>
    <row r="30" spans="1:24" x14ac:dyDescent="0.25">
      <c r="E30" s="14">
        <v>40</v>
      </c>
      <c r="F30" s="54" t="s">
        <v>86</v>
      </c>
      <c r="P30" s="14">
        <v>40</v>
      </c>
      <c r="Q30" s="54">
        <v>40</v>
      </c>
    </row>
    <row r="31" spans="1:24" x14ac:dyDescent="0.25">
      <c r="E31" s="14">
        <v>50</v>
      </c>
      <c r="F31" s="54" t="s">
        <v>89</v>
      </c>
      <c r="P31" s="14">
        <v>50</v>
      </c>
      <c r="Q31" s="54">
        <v>50</v>
      </c>
    </row>
    <row r="32" spans="1:24" x14ac:dyDescent="0.25">
      <c r="E32" s="14">
        <v>60</v>
      </c>
      <c r="F32" s="54" t="s">
        <v>92</v>
      </c>
      <c r="P32" s="14">
        <v>60</v>
      </c>
      <c r="Q32" s="54">
        <v>60</v>
      </c>
    </row>
    <row r="33" spans="1:17" x14ac:dyDescent="0.25">
      <c r="E33" s="14">
        <v>70</v>
      </c>
      <c r="F33" s="54" t="s">
        <v>94</v>
      </c>
      <c r="P33" s="14">
        <v>70</v>
      </c>
      <c r="Q33" s="54">
        <v>70</v>
      </c>
    </row>
    <row r="34" spans="1:17" x14ac:dyDescent="0.25">
      <c r="E34" s="14">
        <v>80</v>
      </c>
      <c r="F34" s="54" t="s">
        <v>95</v>
      </c>
      <c r="P34" s="14">
        <v>80</v>
      </c>
      <c r="Q34" s="54">
        <v>80</v>
      </c>
    </row>
    <row r="35" spans="1:17" ht="32.25" thickBot="1" x14ac:dyDescent="0.3">
      <c r="A35" s="35"/>
      <c r="B35" s="35"/>
      <c r="C35" s="35"/>
      <c r="D35" s="35"/>
      <c r="E35" s="14">
        <v>90</v>
      </c>
      <c r="F35" s="53" t="s">
        <v>109</v>
      </c>
      <c r="G35" s="35"/>
      <c r="H35" s="35"/>
      <c r="I35" s="35"/>
      <c r="J35" s="35"/>
      <c r="K35" s="35"/>
      <c r="L35" s="35"/>
      <c r="M35" s="35"/>
      <c r="P35" s="14">
        <v>90</v>
      </c>
      <c r="Q35" s="53">
        <v>90</v>
      </c>
    </row>
    <row r="36" spans="1:17" ht="31.5" x14ac:dyDescent="0.25">
      <c r="A36" s="35"/>
      <c r="B36" s="35"/>
      <c r="C36" s="35"/>
      <c r="D36" s="35"/>
      <c r="E36" s="14">
        <v>100</v>
      </c>
      <c r="F36" s="53">
        <v>100</v>
      </c>
      <c r="G36" s="35"/>
      <c r="H36" s="35"/>
      <c r="I36" s="35"/>
      <c r="J36" s="35"/>
      <c r="K36" s="142" t="s">
        <v>68</v>
      </c>
      <c r="L36" s="142"/>
      <c r="M36" s="142"/>
      <c r="P36" s="14">
        <v>100</v>
      </c>
      <c r="Q36" s="53">
        <v>100</v>
      </c>
    </row>
    <row r="37" spans="1:17" ht="31.5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52"/>
      <c r="L37" s="52"/>
      <c r="M37" s="52"/>
    </row>
    <row r="38" spans="1:17" ht="15.75" thickBot="1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144" t="s">
        <v>55</v>
      </c>
      <c r="L38" s="144"/>
      <c r="M38" s="144"/>
    </row>
    <row r="39" spans="1:17" ht="32.25" thickBot="1" x14ac:dyDescent="0.3">
      <c r="A39" s="145" t="s">
        <v>69</v>
      </c>
      <c r="B39" s="145"/>
      <c r="C39" s="37" t="s">
        <v>0</v>
      </c>
      <c r="D39" s="146" t="s">
        <v>70</v>
      </c>
      <c r="E39" s="146"/>
      <c r="F39" s="146"/>
      <c r="G39" s="147" t="s">
        <v>71</v>
      </c>
      <c r="H39" s="147"/>
      <c r="I39" s="146" t="s">
        <v>72</v>
      </c>
      <c r="J39" s="146"/>
      <c r="K39" s="145" t="s">
        <v>16</v>
      </c>
      <c r="L39" s="145"/>
      <c r="M39" s="148"/>
    </row>
    <row r="40" spans="1:17" ht="15.75" x14ac:dyDescent="0.25">
      <c r="A40" s="39" t="s">
        <v>175</v>
      </c>
      <c r="B40" s="38">
        <v>1</v>
      </c>
      <c r="D40" s="9">
        <v>160</v>
      </c>
      <c r="E40" s="40" t="s">
        <v>19</v>
      </c>
      <c r="F40" s="9" t="s">
        <v>28</v>
      </c>
      <c r="G40" s="9" t="s">
        <v>22</v>
      </c>
      <c r="H40" s="8" t="s">
        <v>19</v>
      </c>
      <c r="I40" s="7" t="s">
        <v>75</v>
      </c>
      <c r="J40" s="41" t="s">
        <v>74</v>
      </c>
      <c r="L40" s="56" t="s">
        <v>76</v>
      </c>
      <c r="M40" s="11" t="s">
        <v>24</v>
      </c>
      <c r="N40" s="44" t="s">
        <v>23</v>
      </c>
    </row>
    <row r="41" spans="1:17" ht="15.75" x14ac:dyDescent="0.25">
      <c r="A41" s="43" t="s">
        <v>77</v>
      </c>
      <c r="B41" s="42">
        <v>2</v>
      </c>
      <c r="D41" s="13">
        <v>200</v>
      </c>
      <c r="E41" s="44" t="s">
        <v>17</v>
      </c>
      <c r="F41" s="13" t="s">
        <v>28</v>
      </c>
      <c r="G41" s="13" t="s">
        <v>29</v>
      </c>
      <c r="H41" s="12" t="s">
        <v>17</v>
      </c>
      <c r="I41" s="11" t="s">
        <v>79</v>
      </c>
      <c r="J41" s="45" t="s">
        <v>32</v>
      </c>
      <c r="L41" s="57" t="s">
        <v>80</v>
      </c>
      <c r="M41" s="11" t="s">
        <v>31</v>
      </c>
      <c r="N41" s="44" t="s">
        <v>30</v>
      </c>
    </row>
    <row r="42" spans="1:17" ht="15.75" x14ac:dyDescent="0.25">
      <c r="A42" s="43" t="s">
        <v>81</v>
      </c>
      <c r="B42" s="42">
        <v>3</v>
      </c>
      <c r="D42" s="13">
        <v>300</v>
      </c>
      <c r="E42" s="44" t="s">
        <v>32</v>
      </c>
      <c r="F42" s="13" t="s">
        <v>28</v>
      </c>
      <c r="G42" s="13" t="s">
        <v>34</v>
      </c>
      <c r="H42" s="12" t="s">
        <v>32</v>
      </c>
      <c r="I42" s="11" t="s">
        <v>83</v>
      </c>
      <c r="J42" s="45" t="s">
        <v>30</v>
      </c>
      <c r="K42" s="5"/>
      <c r="L42" s="4"/>
      <c r="M42" s="11" t="s">
        <v>116</v>
      </c>
      <c r="N42" s="58"/>
      <c r="O42" s="58"/>
    </row>
    <row r="43" spans="1:17" ht="15.75" x14ac:dyDescent="0.25">
      <c r="A43" s="43" t="s">
        <v>84</v>
      </c>
      <c r="B43" s="42">
        <v>4</v>
      </c>
      <c r="D43" s="13">
        <v>350</v>
      </c>
      <c r="E43" s="44" t="s">
        <v>25</v>
      </c>
      <c r="F43" s="13" t="s">
        <v>28</v>
      </c>
      <c r="G43" s="13" t="s">
        <v>36</v>
      </c>
      <c r="H43" s="12" t="s">
        <v>25</v>
      </c>
      <c r="J43" s="5"/>
      <c r="K43" s="5"/>
      <c r="L43" s="5"/>
      <c r="M43" s="5"/>
    </row>
    <row r="44" spans="1:17" ht="15.75" x14ac:dyDescent="0.25">
      <c r="A44" s="43" t="s">
        <v>85</v>
      </c>
      <c r="B44" s="42">
        <v>5</v>
      </c>
      <c r="D44" s="13">
        <v>400</v>
      </c>
      <c r="E44" s="44" t="s">
        <v>10</v>
      </c>
      <c r="F44" s="13" t="s">
        <v>28</v>
      </c>
      <c r="G44" s="13" t="s">
        <v>37</v>
      </c>
      <c r="H44" s="12" t="s">
        <v>10</v>
      </c>
      <c r="J44" s="5"/>
      <c r="K44" s="5"/>
      <c r="L44" s="5"/>
      <c r="M44" s="5"/>
    </row>
    <row r="45" spans="1:17" ht="15.75" x14ac:dyDescent="0.25">
      <c r="A45" s="43" t="s">
        <v>87</v>
      </c>
      <c r="B45" s="42">
        <v>6</v>
      </c>
      <c r="D45" s="13">
        <v>420</v>
      </c>
      <c r="E45" s="44" t="s">
        <v>38</v>
      </c>
      <c r="F45" s="13" t="s">
        <v>28</v>
      </c>
      <c r="G45" s="13" t="s">
        <v>39</v>
      </c>
      <c r="H45" s="12" t="s">
        <v>38</v>
      </c>
      <c r="J45" s="5"/>
      <c r="K45" s="5"/>
      <c r="L45" s="5"/>
      <c r="M45" s="5"/>
    </row>
    <row r="46" spans="1:17" ht="15.75" x14ac:dyDescent="0.25">
      <c r="A46" s="43" t="s">
        <v>88</v>
      </c>
      <c r="B46" s="42">
        <v>7</v>
      </c>
      <c r="D46" s="13">
        <v>500</v>
      </c>
      <c r="E46" s="44" t="s">
        <v>40</v>
      </c>
      <c r="F46" s="13" t="s">
        <v>28</v>
      </c>
      <c r="G46" s="13" t="s">
        <v>41</v>
      </c>
      <c r="H46" s="12" t="s">
        <v>40</v>
      </c>
      <c r="I46" s="5"/>
      <c r="J46" s="5"/>
      <c r="K46" s="5"/>
      <c r="L46" s="5"/>
      <c r="M46" s="5"/>
    </row>
    <row r="47" spans="1:17" ht="15.75" x14ac:dyDescent="0.25">
      <c r="A47" s="43" t="s">
        <v>90</v>
      </c>
      <c r="B47" s="42">
        <v>8</v>
      </c>
      <c r="D47" s="13">
        <v>550</v>
      </c>
      <c r="E47" s="44" t="s">
        <v>42</v>
      </c>
      <c r="F47" s="13" t="s">
        <v>28</v>
      </c>
      <c r="G47" s="13" t="s">
        <v>43</v>
      </c>
      <c r="H47" s="12" t="s">
        <v>42</v>
      </c>
      <c r="I47" s="5"/>
      <c r="J47" s="5"/>
      <c r="K47" s="5"/>
      <c r="L47" s="5"/>
      <c r="M47" s="5"/>
    </row>
    <row r="48" spans="1:17" ht="15.75" x14ac:dyDescent="0.25">
      <c r="A48" s="43" t="s">
        <v>91</v>
      </c>
      <c r="B48" s="42">
        <v>9</v>
      </c>
      <c r="D48" s="13">
        <v>600</v>
      </c>
      <c r="E48" s="44" t="s">
        <v>44</v>
      </c>
      <c r="F48" s="13" t="s">
        <v>28</v>
      </c>
      <c r="G48" s="13" t="s">
        <v>45</v>
      </c>
      <c r="H48" s="12" t="s">
        <v>44</v>
      </c>
      <c r="I48" s="5"/>
      <c r="J48" s="5"/>
      <c r="K48" s="5"/>
      <c r="L48" s="5"/>
      <c r="M48" s="5"/>
    </row>
    <row r="49" spans="1:13" ht="15.75" x14ac:dyDescent="0.25">
      <c r="A49" s="43" t="s">
        <v>93</v>
      </c>
      <c r="B49" s="42">
        <v>0</v>
      </c>
      <c r="D49" s="13">
        <v>700</v>
      </c>
      <c r="E49" s="44" t="s">
        <v>46</v>
      </c>
      <c r="F49" s="13" t="s">
        <v>28</v>
      </c>
      <c r="G49" s="13" t="s">
        <v>176</v>
      </c>
      <c r="H49" s="12" t="s">
        <v>74</v>
      </c>
      <c r="I49" s="5"/>
      <c r="J49" s="5"/>
      <c r="K49" s="5"/>
      <c r="L49" s="5"/>
      <c r="M49" s="5"/>
    </row>
    <row r="50" spans="1:13" ht="15.75" x14ac:dyDescent="0.25">
      <c r="B50" s="5"/>
      <c r="D50" s="13">
        <v>800</v>
      </c>
      <c r="E50" s="44" t="s">
        <v>48</v>
      </c>
      <c r="F50" s="13" t="s">
        <v>28</v>
      </c>
      <c r="G50" s="13" t="s">
        <v>47</v>
      </c>
      <c r="H50" s="12" t="s">
        <v>46</v>
      </c>
      <c r="I50" s="5"/>
      <c r="J50" s="5"/>
      <c r="K50" s="5"/>
      <c r="L50" s="5"/>
      <c r="M50" s="5"/>
    </row>
    <row r="51" spans="1:13" ht="15.75" x14ac:dyDescent="0.25">
      <c r="B51" s="5"/>
      <c r="D51" s="92">
        <v>900</v>
      </c>
      <c r="E51" s="93" t="s">
        <v>135</v>
      </c>
      <c r="F51" s="92" t="s">
        <v>28</v>
      </c>
      <c r="G51" s="13" t="s">
        <v>49</v>
      </c>
      <c r="H51" s="12" t="s">
        <v>48</v>
      </c>
      <c r="I51" s="5"/>
      <c r="J51" s="5"/>
      <c r="K51" s="14"/>
      <c r="L51" s="14"/>
      <c r="M51" s="14"/>
    </row>
    <row r="52" spans="1:13" ht="15.75" x14ac:dyDescent="0.25">
      <c r="B52" s="5"/>
      <c r="D52" s="13">
        <v>1000</v>
      </c>
      <c r="E52" s="44" t="s">
        <v>96</v>
      </c>
      <c r="F52" s="13" t="s">
        <v>28</v>
      </c>
      <c r="G52" s="13" t="s">
        <v>174</v>
      </c>
      <c r="H52" s="12" t="s">
        <v>96</v>
      </c>
      <c r="I52" s="5"/>
      <c r="J52" s="5"/>
      <c r="K52" s="14"/>
      <c r="L52" s="14"/>
      <c r="M52" s="14"/>
    </row>
    <row r="53" spans="1:13" ht="15.75" x14ac:dyDescent="0.25">
      <c r="B53" s="14"/>
      <c r="D53" s="92">
        <v>3600</v>
      </c>
      <c r="E53" s="93" t="s">
        <v>141</v>
      </c>
      <c r="F53" s="13" t="s">
        <v>28</v>
      </c>
      <c r="H53" s="14"/>
      <c r="I53" s="14"/>
      <c r="J53" s="14"/>
      <c r="K53" s="14"/>
      <c r="L53" s="14"/>
      <c r="M53" s="14"/>
    </row>
    <row r="54" spans="1:13" ht="15.75" x14ac:dyDescent="0.25">
      <c r="B54" s="14"/>
      <c r="D54" s="13">
        <v>1200</v>
      </c>
      <c r="E54" s="44" t="s">
        <v>74</v>
      </c>
      <c r="F54" s="13" t="s">
        <v>28</v>
      </c>
      <c r="H54" s="14"/>
      <c r="I54" s="14"/>
      <c r="J54" s="14"/>
      <c r="K54" s="14"/>
      <c r="L54" s="14"/>
      <c r="M54" s="14"/>
    </row>
    <row r="55" spans="1:13" ht="15.75" x14ac:dyDescent="0.25">
      <c r="B55" s="14"/>
      <c r="D55" s="13">
        <v>1500</v>
      </c>
      <c r="E55" s="44" t="s">
        <v>97</v>
      </c>
      <c r="F55" s="13" t="s">
        <v>28</v>
      </c>
      <c r="H55" s="14"/>
      <c r="I55" s="14"/>
      <c r="J55" s="14"/>
      <c r="K55" s="14"/>
      <c r="L55" s="14"/>
      <c r="M55" s="14"/>
    </row>
    <row r="56" spans="1:13" ht="15.75" x14ac:dyDescent="0.25">
      <c r="B56" s="14"/>
      <c r="D56" s="13">
        <v>1800</v>
      </c>
      <c r="E56" s="44" t="s">
        <v>98</v>
      </c>
      <c r="F56" s="13" t="s">
        <v>28</v>
      </c>
      <c r="H56" s="14"/>
      <c r="I56" s="14"/>
      <c r="J56" s="14"/>
      <c r="K56" s="14"/>
      <c r="L56" s="14"/>
      <c r="M56" s="14"/>
    </row>
    <row r="57" spans="1:13" ht="15.75" x14ac:dyDescent="0.25">
      <c r="B57" s="14"/>
      <c r="D57" s="13">
        <v>1900</v>
      </c>
      <c r="E57" s="44" t="s">
        <v>62</v>
      </c>
      <c r="F57" s="13" t="s">
        <v>28</v>
      </c>
      <c r="H57" s="14"/>
      <c r="I57" s="14"/>
      <c r="J57" s="14"/>
      <c r="K57" s="14"/>
      <c r="L57" s="14"/>
      <c r="M57" s="14"/>
    </row>
    <row r="58" spans="1:13" ht="15.75" x14ac:dyDescent="0.25">
      <c r="B58" s="14"/>
      <c r="D58" s="13">
        <v>2500</v>
      </c>
      <c r="E58" s="44" t="s">
        <v>144</v>
      </c>
      <c r="F58" s="13" t="s">
        <v>28</v>
      </c>
      <c r="H58" s="14"/>
      <c r="I58" s="14"/>
      <c r="J58" s="14"/>
      <c r="K58" s="14"/>
      <c r="L58" s="14"/>
      <c r="M58" s="14"/>
    </row>
    <row r="59" spans="1:13" ht="15.75" x14ac:dyDescent="0.25">
      <c r="B59" s="14"/>
      <c r="D59" s="13">
        <v>2000</v>
      </c>
      <c r="E59" s="44" t="s">
        <v>66</v>
      </c>
      <c r="F59" s="13" t="s">
        <v>28</v>
      </c>
      <c r="H59" s="14"/>
      <c r="I59" s="14"/>
      <c r="J59" s="14"/>
      <c r="K59" s="14"/>
      <c r="L59" s="14"/>
      <c r="M59" s="14"/>
    </row>
    <row r="60" spans="1:13" ht="15.75" x14ac:dyDescent="0.25">
      <c r="D60" s="13">
        <v>1400</v>
      </c>
      <c r="E60" s="44" t="s">
        <v>23</v>
      </c>
      <c r="F60" s="13" t="s">
        <v>28</v>
      </c>
    </row>
    <row r="61" spans="1:13" ht="15.75" x14ac:dyDescent="0.25">
      <c r="D61" s="13">
        <v>1600</v>
      </c>
      <c r="E61" s="44" t="s">
        <v>30</v>
      </c>
      <c r="F61" s="13" t="s">
        <v>28</v>
      </c>
    </row>
    <row r="62" spans="1:13" ht="15.75" x14ac:dyDescent="0.25">
      <c r="D62" s="13">
        <v>750</v>
      </c>
      <c r="E62" s="44" t="s">
        <v>165</v>
      </c>
      <c r="F62" s="92" t="s">
        <v>28</v>
      </c>
    </row>
    <row r="63" spans="1:13" ht="15.75" x14ac:dyDescent="0.25">
      <c r="A63" s="14"/>
      <c r="B63" s="14"/>
      <c r="C63" s="14"/>
      <c r="D63" s="92">
        <v>3000</v>
      </c>
      <c r="E63" s="93" t="s">
        <v>125</v>
      </c>
      <c r="F63" s="92" t="s">
        <v>28</v>
      </c>
      <c r="G63" s="14"/>
      <c r="H63" s="14"/>
    </row>
    <row r="64" spans="1:13" ht="16.5" thickBot="1" x14ac:dyDescent="0.3">
      <c r="A64" s="14"/>
      <c r="B64" s="14"/>
      <c r="C64" s="14"/>
      <c r="D64" s="92">
        <v>2200</v>
      </c>
      <c r="E64" s="93" t="s">
        <v>168</v>
      </c>
      <c r="F64" s="92" t="s">
        <v>28</v>
      </c>
      <c r="G64" s="14"/>
      <c r="H64" s="14"/>
    </row>
    <row r="65" spans="1:30" ht="27" thickBot="1" x14ac:dyDescent="0.45">
      <c r="A65" s="18"/>
      <c r="C65" s="18"/>
      <c r="D65" s="14"/>
      <c r="E65" s="14"/>
      <c r="F65" s="14"/>
      <c r="G65" s="95"/>
      <c r="H65" s="95"/>
    </row>
    <row r="66" spans="1:30" ht="29.25" thickBot="1" x14ac:dyDescent="0.5">
      <c r="A66" s="14"/>
      <c r="B66" s="14"/>
      <c r="C66" s="14"/>
      <c r="D66" s="19"/>
      <c r="E66" s="19"/>
      <c r="F66" s="95" t="s">
        <v>54</v>
      </c>
      <c r="G66" s="96"/>
      <c r="H66" s="96"/>
    </row>
    <row r="67" spans="1:30" ht="19.5" thickBot="1" x14ac:dyDescent="0.35">
      <c r="A67" s="20" t="s">
        <v>12</v>
      </c>
      <c r="B67" s="135" t="s">
        <v>0</v>
      </c>
      <c r="C67" s="21" t="s">
        <v>56</v>
      </c>
      <c r="D67" s="14"/>
      <c r="E67" s="14"/>
      <c r="F67" s="96" t="s">
        <v>55</v>
      </c>
      <c r="G67" s="136" t="s">
        <v>16</v>
      </c>
      <c r="H67" s="136"/>
    </row>
    <row r="68" spans="1:30" ht="19.5" thickBot="1" x14ac:dyDescent="0.35">
      <c r="A68" s="23"/>
      <c r="B68" s="135"/>
      <c r="C68" s="24" t="s">
        <v>11</v>
      </c>
      <c r="D68" s="22"/>
      <c r="E68" s="21" t="s">
        <v>56</v>
      </c>
      <c r="F68" s="22"/>
      <c r="G68" s="136"/>
      <c r="H68" s="136"/>
    </row>
    <row r="69" spans="1:30" ht="29.25" thickBot="1" x14ac:dyDescent="0.5">
      <c r="A69" s="26" t="s">
        <v>26</v>
      </c>
      <c r="B69" s="135"/>
      <c r="C69" s="27" t="s">
        <v>59</v>
      </c>
      <c r="D69" s="25" t="s">
        <v>0</v>
      </c>
      <c r="E69" s="24" t="s">
        <v>57</v>
      </c>
      <c r="F69" s="25" t="s">
        <v>0</v>
      </c>
      <c r="G69" s="136"/>
      <c r="H69" s="136"/>
    </row>
    <row r="70" spans="1:30" ht="19.5" thickBot="1" x14ac:dyDescent="0.35">
      <c r="A70" s="14"/>
      <c r="B70" s="14"/>
      <c r="C70" s="30" t="s">
        <v>61</v>
      </c>
      <c r="D70" s="28"/>
      <c r="E70" s="27" t="s">
        <v>11</v>
      </c>
      <c r="F70" s="28"/>
      <c r="G70" s="31" t="s">
        <v>62</v>
      </c>
      <c r="H70" s="30" t="s">
        <v>63</v>
      </c>
      <c r="I70" s="55" t="s">
        <v>111</v>
      </c>
    </row>
    <row r="71" spans="1:30" ht="15.75" x14ac:dyDescent="0.25">
      <c r="A71" s="14"/>
      <c r="B71" s="14"/>
      <c r="C71" s="14"/>
      <c r="D71" s="14"/>
      <c r="E71" s="30" t="s">
        <v>61</v>
      </c>
      <c r="F71" s="14"/>
      <c r="G71" s="32" t="s">
        <v>30</v>
      </c>
      <c r="H71" s="33" t="s">
        <v>64</v>
      </c>
      <c r="I71" s="55" t="s">
        <v>112</v>
      </c>
    </row>
    <row r="72" spans="1:30" ht="15.75" x14ac:dyDescent="0.25">
      <c r="A72" s="14"/>
      <c r="B72" s="14" t="s">
        <v>99</v>
      </c>
      <c r="C72" s="47" t="s">
        <v>102</v>
      </c>
      <c r="D72" s="14"/>
      <c r="E72" s="14"/>
      <c r="F72" s="14"/>
      <c r="G72" s="32" t="s">
        <v>23</v>
      </c>
      <c r="H72" s="34" t="s">
        <v>65</v>
      </c>
      <c r="I72" s="55" t="s">
        <v>113</v>
      </c>
    </row>
    <row r="73" spans="1:30" ht="15.75" x14ac:dyDescent="0.25">
      <c r="A73" s="14"/>
      <c r="B73" s="14" t="s">
        <v>100</v>
      </c>
      <c r="C73" s="47" t="s">
        <v>103</v>
      </c>
      <c r="D73" s="14"/>
      <c r="E73" s="14"/>
      <c r="F73" s="14"/>
      <c r="G73" s="32" t="s">
        <v>66</v>
      </c>
      <c r="H73" s="34" t="s">
        <v>67</v>
      </c>
      <c r="I73" s="55" t="s">
        <v>114</v>
      </c>
    </row>
    <row r="74" spans="1:30" x14ac:dyDescent="0.25">
      <c r="B74" t="s">
        <v>101</v>
      </c>
      <c r="C74" s="48" t="s">
        <v>104</v>
      </c>
      <c r="D74" s="14"/>
      <c r="E74" s="14"/>
      <c r="F74" s="14"/>
      <c r="H74" s="1" t="s">
        <v>115</v>
      </c>
    </row>
    <row r="75" spans="1:30" x14ac:dyDescent="0.25">
      <c r="B75" s="14" t="s">
        <v>2</v>
      </c>
      <c r="C75" s="48" t="s">
        <v>89</v>
      </c>
    </row>
    <row r="78" spans="1:30" ht="15.75" thickBot="1" x14ac:dyDescent="0.3"/>
    <row r="79" spans="1:30" ht="15.75" customHeight="1" thickBot="1" x14ac:dyDescent="0.3">
      <c r="A79" s="137" t="s">
        <v>72</v>
      </c>
      <c r="B79" s="137"/>
      <c r="C79" s="94" t="s">
        <v>117</v>
      </c>
      <c r="G79" s="137" t="s">
        <v>56</v>
      </c>
      <c r="H79" s="137"/>
      <c r="I79" s="137" t="s">
        <v>117</v>
      </c>
      <c r="J79" s="137"/>
      <c r="K79" s="137" t="s">
        <v>118</v>
      </c>
      <c r="L79" s="137"/>
      <c r="M79" s="137" t="s">
        <v>56</v>
      </c>
      <c r="N79" s="137"/>
      <c r="O79" s="137" t="s">
        <v>119</v>
      </c>
      <c r="P79" s="137"/>
      <c r="Q79" s="137" t="s">
        <v>7</v>
      </c>
      <c r="R79" s="137"/>
      <c r="S79" s="137" t="s">
        <v>120</v>
      </c>
      <c r="T79" s="137"/>
      <c r="U79" s="137" t="s">
        <v>121</v>
      </c>
      <c r="V79" s="137"/>
      <c r="W79" s="137" t="s">
        <v>122</v>
      </c>
      <c r="X79" s="137"/>
      <c r="Y79" s="133" t="s">
        <v>123</v>
      </c>
      <c r="Z79" s="133"/>
      <c r="AA79" s="133" t="s">
        <v>124</v>
      </c>
      <c r="AB79" s="133"/>
      <c r="AC79" s="133" t="s">
        <v>16</v>
      </c>
      <c r="AD79" s="133"/>
    </row>
    <row r="80" spans="1:30" ht="15.75" customHeight="1" thickBot="1" x14ac:dyDescent="0.3">
      <c r="A80" s="137"/>
      <c r="B80" s="137"/>
      <c r="C80" s="94"/>
      <c r="D80" s="94"/>
      <c r="E80" s="137" t="s">
        <v>118</v>
      </c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3"/>
      <c r="Z80" s="133"/>
      <c r="AA80" s="133"/>
      <c r="AB80" s="133"/>
      <c r="AC80" s="133"/>
      <c r="AD80" s="133"/>
    </row>
    <row r="81" spans="1:32" ht="16.5" thickBot="1" x14ac:dyDescent="0.3">
      <c r="A81" s="59" t="s">
        <v>125</v>
      </c>
      <c r="B81" s="60" t="s">
        <v>126</v>
      </c>
      <c r="C81" s="61">
        <v>1</v>
      </c>
      <c r="D81" s="39" t="s">
        <v>73</v>
      </c>
      <c r="E81" s="137"/>
      <c r="F81" s="137"/>
      <c r="G81" s="61" t="s">
        <v>19</v>
      </c>
      <c r="H81" s="63">
        <v>160</v>
      </c>
      <c r="I81" s="61">
        <v>1</v>
      </c>
      <c r="J81" s="39" t="s">
        <v>73</v>
      </c>
      <c r="K81" s="64" t="s">
        <v>19</v>
      </c>
      <c r="L81" s="30">
        <v>1</v>
      </c>
      <c r="M81" s="61" t="s">
        <v>19</v>
      </c>
      <c r="N81" s="63" t="s">
        <v>127</v>
      </c>
      <c r="O81" s="65" t="s">
        <v>128</v>
      </c>
      <c r="P81" s="66"/>
      <c r="Q81" s="61" t="s">
        <v>19</v>
      </c>
      <c r="R81" s="39">
        <v>0.25</v>
      </c>
      <c r="S81" s="67" t="s">
        <v>129</v>
      </c>
      <c r="T81" s="29" t="s">
        <v>8</v>
      </c>
      <c r="U81" s="68" t="s">
        <v>25</v>
      </c>
      <c r="V81" s="69" t="s">
        <v>130</v>
      </c>
      <c r="W81" s="68" t="s">
        <v>97</v>
      </c>
      <c r="X81" s="39" t="s">
        <v>131</v>
      </c>
      <c r="Y81" s="68" t="s">
        <v>96</v>
      </c>
      <c r="Z81" s="39" t="s">
        <v>132</v>
      </c>
      <c r="AA81" s="70" t="s">
        <v>165</v>
      </c>
      <c r="AB81" s="71" t="s">
        <v>133</v>
      </c>
      <c r="AC81" s="61" t="s">
        <v>30</v>
      </c>
      <c r="AD81" s="63" t="s">
        <v>64</v>
      </c>
    </row>
    <row r="82" spans="1:32" ht="14.25" customHeight="1" x14ac:dyDescent="0.25">
      <c r="A82" s="72" t="s">
        <v>42</v>
      </c>
      <c r="B82" s="73" t="s">
        <v>134</v>
      </c>
      <c r="C82" s="32">
        <v>2</v>
      </c>
      <c r="D82" s="43" t="s">
        <v>77</v>
      </c>
      <c r="E82" s="31" t="s">
        <v>19</v>
      </c>
      <c r="F82" s="62">
        <v>1</v>
      </c>
      <c r="G82" s="32" t="s">
        <v>17</v>
      </c>
      <c r="H82" s="33">
        <v>200</v>
      </c>
      <c r="I82" s="32">
        <v>2</v>
      </c>
      <c r="J82" s="43" t="s">
        <v>77</v>
      </c>
      <c r="K82" s="76" t="s">
        <v>17</v>
      </c>
      <c r="L82" s="77">
        <v>2</v>
      </c>
      <c r="M82" s="32" t="s">
        <v>17</v>
      </c>
      <c r="N82" s="33">
        <v>200</v>
      </c>
      <c r="O82" s="14"/>
      <c r="P82" s="14"/>
      <c r="Q82" s="61" t="s">
        <v>17</v>
      </c>
      <c r="R82" s="39">
        <v>0.37</v>
      </c>
      <c r="S82" s="14"/>
      <c r="T82" s="14"/>
      <c r="U82" s="14"/>
      <c r="V82" s="14"/>
      <c r="W82" s="78" t="s">
        <v>135</v>
      </c>
      <c r="X82" s="79" t="s">
        <v>136</v>
      </c>
      <c r="Y82" s="80"/>
      <c r="Z82" s="80"/>
      <c r="AA82" s="81"/>
      <c r="AB82" s="82"/>
      <c r="AC82" s="32" t="s">
        <v>23</v>
      </c>
      <c r="AD82" s="34" t="s">
        <v>65</v>
      </c>
    </row>
    <row r="83" spans="1:32" ht="24.75" customHeight="1" x14ac:dyDescent="0.25">
      <c r="A83" s="60" t="s">
        <v>126</v>
      </c>
      <c r="B83" s="59" t="s">
        <v>125</v>
      </c>
      <c r="C83" s="32">
        <v>3</v>
      </c>
      <c r="D83" s="43" t="s">
        <v>81</v>
      </c>
      <c r="E83" s="74" t="s">
        <v>17</v>
      </c>
      <c r="F83" s="75">
        <v>2</v>
      </c>
      <c r="G83" s="32" t="s">
        <v>32</v>
      </c>
      <c r="H83" s="33">
        <v>300</v>
      </c>
      <c r="I83" s="32">
        <v>3</v>
      </c>
      <c r="J83" s="43" t="s">
        <v>81</v>
      </c>
      <c r="K83" s="74" t="s">
        <v>32</v>
      </c>
      <c r="L83" s="77">
        <v>3</v>
      </c>
      <c r="M83" s="32" t="s">
        <v>32</v>
      </c>
      <c r="N83" s="33">
        <v>300</v>
      </c>
      <c r="O83" s="14"/>
      <c r="P83" s="14"/>
      <c r="Q83" s="32" t="s">
        <v>32</v>
      </c>
      <c r="R83" s="39">
        <v>0.55000000000000004</v>
      </c>
      <c r="S83" s="14"/>
      <c r="T83" s="14"/>
      <c r="U83" s="14"/>
      <c r="V83" s="14"/>
      <c r="W83" s="78" t="s">
        <v>125</v>
      </c>
      <c r="X83" s="79" t="s">
        <v>137</v>
      </c>
      <c r="Y83" s="80"/>
      <c r="Z83" s="80"/>
      <c r="AA83" s="81"/>
      <c r="AB83" s="82"/>
      <c r="AC83" s="149" t="s">
        <v>66</v>
      </c>
      <c r="AD83" s="150" t="s">
        <v>67</v>
      </c>
    </row>
    <row r="84" spans="1:32" ht="15.75" x14ac:dyDescent="0.25">
      <c r="A84" s="73" t="s">
        <v>134</v>
      </c>
      <c r="B84" s="72" t="s">
        <v>42</v>
      </c>
      <c r="C84" s="32">
        <v>4</v>
      </c>
      <c r="D84" s="43" t="s">
        <v>84</v>
      </c>
      <c r="E84" s="74" t="s">
        <v>32</v>
      </c>
      <c r="F84" s="83">
        <v>3</v>
      </c>
      <c r="G84" s="32" t="s">
        <v>25</v>
      </c>
      <c r="H84" s="33">
        <v>350</v>
      </c>
      <c r="I84" s="32">
        <v>4</v>
      </c>
      <c r="J84" s="43" t="s">
        <v>84</v>
      </c>
      <c r="K84" s="74" t="s">
        <v>25</v>
      </c>
      <c r="L84" s="83">
        <v>4</v>
      </c>
      <c r="M84" s="32" t="s">
        <v>25</v>
      </c>
      <c r="N84" s="33">
        <v>350</v>
      </c>
      <c r="O84" s="14"/>
      <c r="P84" s="14"/>
      <c r="Q84" s="32" t="s">
        <v>25</v>
      </c>
      <c r="R84" s="43">
        <v>0.75</v>
      </c>
      <c r="S84" s="14"/>
      <c r="T84" s="14"/>
      <c r="U84" s="14"/>
      <c r="V84" s="14"/>
      <c r="W84" s="78"/>
      <c r="X84" s="79"/>
      <c r="Y84" s="80"/>
      <c r="Z84" s="82"/>
      <c r="AA84" s="81"/>
      <c r="AB84" s="82"/>
      <c r="AC84" s="149"/>
      <c r="AD84" s="150"/>
    </row>
    <row r="85" spans="1:32" ht="15.75" x14ac:dyDescent="0.25">
      <c r="A85" s="14"/>
      <c r="B85" s="14"/>
      <c r="C85" s="32">
        <v>5</v>
      </c>
      <c r="D85" s="43" t="s">
        <v>85</v>
      </c>
      <c r="E85" s="74" t="s">
        <v>25</v>
      </c>
      <c r="F85" s="83">
        <v>4</v>
      </c>
      <c r="G85" s="32" t="s">
        <v>10</v>
      </c>
      <c r="H85" s="33">
        <v>400</v>
      </c>
      <c r="I85" s="32">
        <v>5</v>
      </c>
      <c r="J85" s="43" t="s">
        <v>85</v>
      </c>
      <c r="K85" s="84"/>
      <c r="L85" s="84"/>
      <c r="M85" s="32" t="s">
        <v>10</v>
      </c>
      <c r="N85" s="33">
        <v>400</v>
      </c>
      <c r="O85" s="14"/>
      <c r="P85" s="14"/>
      <c r="Q85" s="32" t="s">
        <v>10</v>
      </c>
      <c r="R85" s="85">
        <v>1.1000000000000001</v>
      </c>
      <c r="S85" s="14"/>
      <c r="T85" s="14"/>
      <c r="U85" s="14"/>
      <c r="V85" s="14"/>
      <c r="W85" s="14"/>
      <c r="X85" s="14"/>
      <c r="Y85" s="80"/>
      <c r="Z85" s="82"/>
      <c r="AA85" s="81"/>
      <c r="AB85" s="82"/>
      <c r="AC85" s="149" t="s">
        <v>10</v>
      </c>
      <c r="AD85" s="150" t="s">
        <v>138</v>
      </c>
    </row>
    <row r="86" spans="1:32" ht="15.75" x14ac:dyDescent="0.25">
      <c r="A86" s="14"/>
      <c r="B86" s="14"/>
      <c r="C86" s="32">
        <v>6</v>
      </c>
      <c r="D86" s="86" t="s">
        <v>139</v>
      </c>
      <c r="E86" s="84"/>
      <c r="F86" s="84"/>
      <c r="G86" s="32" t="s">
        <v>38</v>
      </c>
      <c r="H86" s="33">
        <v>500</v>
      </c>
      <c r="I86" s="32">
        <v>6</v>
      </c>
      <c r="J86" s="86" t="s">
        <v>140</v>
      </c>
      <c r="K86" s="84"/>
      <c r="L86" s="84"/>
      <c r="M86" s="32" t="s">
        <v>38</v>
      </c>
      <c r="N86" s="33">
        <v>500</v>
      </c>
      <c r="O86" s="14"/>
      <c r="P86" s="14"/>
      <c r="Q86" s="32" t="s">
        <v>38</v>
      </c>
      <c r="R86" s="85">
        <v>1.5</v>
      </c>
      <c r="S86" s="14"/>
      <c r="T86" s="14"/>
      <c r="U86" s="14"/>
      <c r="V86" s="14"/>
      <c r="W86" s="14"/>
      <c r="X86" s="14"/>
      <c r="Y86" s="80"/>
      <c r="Z86" s="82"/>
      <c r="AA86" s="14"/>
      <c r="AB86" s="14"/>
      <c r="AC86" s="149"/>
      <c r="AD86" s="150"/>
    </row>
    <row r="87" spans="1:32" ht="15.75" x14ac:dyDescent="0.25">
      <c r="A87" s="14"/>
      <c r="B87" s="14"/>
      <c r="C87" s="32">
        <v>7</v>
      </c>
      <c r="D87" s="43" t="s">
        <v>88</v>
      </c>
      <c r="E87" s="84"/>
      <c r="F87" s="84"/>
      <c r="G87" s="32" t="s">
        <v>40</v>
      </c>
      <c r="H87" s="33">
        <v>550</v>
      </c>
      <c r="I87" s="32">
        <v>7</v>
      </c>
      <c r="J87" s="43" t="s">
        <v>88</v>
      </c>
      <c r="K87" s="84"/>
      <c r="L87" s="84"/>
      <c r="M87" s="32" t="s">
        <v>40</v>
      </c>
      <c r="N87" s="33">
        <v>550</v>
      </c>
      <c r="O87" s="14"/>
      <c r="P87" s="14"/>
      <c r="Q87" s="32" t="s">
        <v>40</v>
      </c>
      <c r="R87" s="85">
        <v>2.2000000000000002</v>
      </c>
      <c r="S87" s="14"/>
      <c r="T87" s="14"/>
      <c r="U87" s="14"/>
      <c r="V87" s="14"/>
      <c r="W87" s="14"/>
      <c r="X87" s="14"/>
      <c r="Y87" s="80"/>
      <c r="Z87" s="82"/>
      <c r="AA87" s="14"/>
      <c r="AB87" s="14"/>
      <c r="AC87" s="149" t="s">
        <v>141</v>
      </c>
      <c r="AD87" s="150" t="s">
        <v>142</v>
      </c>
    </row>
    <row r="88" spans="1:32" ht="15.75" x14ac:dyDescent="0.25">
      <c r="A88" s="14"/>
      <c r="B88" s="14"/>
      <c r="C88" s="32">
        <v>8</v>
      </c>
      <c r="D88" s="43" t="s">
        <v>90</v>
      </c>
      <c r="E88" s="84"/>
      <c r="F88" s="84"/>
      <c r="G88" s="32" t="s">
        <v>42</v>
      </c>
      <c r="H88" s="33">
        <v>600</v>
      </c>
      <c r="I88" s="32">
        <v>8</v>
      </c>
      <c r="J88" s="43" t="s">
        <v>90</v>
      </c>
      <c r="K88" s="84"/>
      <c r="L88" s="84"/>
      <c r="M88" s="32" t="s">
        <v>42</v>
      </c>
      <c r="N88" s="33">
        <v>600</v>
      </c>
      <c r="O88" s="14"/>
      <c r="P88" s="14"/>
      <c r="Q88" s="32" t="s">
        <v>42</v>
      </c>
      <c r="R88" s="85">
        <v>3</v>
      </c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9"/>
      <c r="AD88" s="150"/>
    </row>
    <row r="89" spans="1:32" ht="15.75" x14ac:dyDescent="0.25">
      <c r="A89" s="14"/>
      <c r="B89" s="14"/>
      <c r="C89" s="32">
        <v>9</v>
      </c>
      <c r="D89" s="43" t="s">
        <v>91</v>
      </c>
      <c r="E89" s="84"/>
      <c r="F89" s="84"/>
      <c r="G89" s="32" t="s">
        <v>44</v>
      </c>
      <c r="H89" s="13">
        <v>700</v>
      </c>
      <c r="I89" s="32">
        <v>9</v>
      </c>
      <c r="J89" s="43" t="s">
        <v>91</v>
      </c>
      <c r="K89" s="84"/>
      <c r="L89" s="84"/>
      <c r="M89" s="32" t="s">
        <v>44</v>
      </c>
      <c r="N89" s="13">
        <v>700</v>
      </c>
      <c r="O89" s="14"/>
      <c r="P89" s="14"/>
      <c r="Q89" s="32" t="s">
        <v>44</v>
      </c>
      <c r="R89" s="85">
        <v>4</v>
      </c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t="s">
        <v>166</v>
      </c>
      <c r="AF89" t="s">
        <v>144</v>
      </c>
    </row>
    <row r="90" spans="1:32" ht="15.75" x14ac:dyDescent="0.25">
      <c r="A90" s="14"/>
      <c r="B90" s="14"/>
      <c r="C90" s="32">
        <v>0</v>
      </c>
      <c r="D90" s="43" t="s">
        <v>143</v>
      </c>
      <c r="E90" s="84"/>
      <c r="F90" s="84"/>
      <c r="G90" s="32" t="s">
        <v>46</v>
      </c>
      <c r="H90" s="13">
        <v>800</v>
      </c>
      <c r="I90" s="84"/>
      <c r="J90" s="14"/>
      <c r="K90" s="84"/>
      <c r="L90" s="84"/>
      <c r="M90" s="32" t="s">
        <v>46</v>
      </c>
      <c r="N90" s="13">
        <v>800</v>
      </c>
      <c r="O90" s="14"/>
      <c r="P90" s="14"/>
      <c r="Q90" s="32" t="s">
        <v>46</v>
      </c>
      <c r="R90" s="85">
        <v>5.5</v>
      </c>
      <c r="S90" s="14"/>
      <c r="T90" s="14"/>
      <c r="U90" s="69" t="s">
        <v>130</v>
      </c>
      <c r="V90" s="68" t="s">
        <v>25</v>
      </c>
      <c r="W90" s="39" t="s">
        <v>131</v>
      </c>
      <c r="X90" s="68" t="s">
        <v>97</v>
      </c>
      <c r="Y90" s="39" t="s">
        <v>132</v>
      </c>
      <c r="Z90" s="68" t="s">
        <v>96</v>
      </c>
      <c r="AA90" s="71" t="s">
        <v>133</v>
      </c>
      <c r="AB90" s="70" t="s">
        <v>165</v>
      </c>
      <c r="AC90" s="14" t="s">
        <v>64</v>
      </c>
      <c r="AD90" s="14" t="s">
        <v>30</v>
      </c>
      <c r="AE90" t="s">
        <v>138</v>
      </c>
      <c r="AF90" t="s">
        <v>10</v>
      </c>
    </row>
    <row r="91" spans="1:32" ht="94.5" x14ac:dyDescent="0.25">
      <c r="A91" s="14"/>
      <c r="B91" s="14"/>
      <c r="C91" s="39" t="s">
        <v>175</v>
      </c>
      <c r="D91" s="61">
        <v>1</v>
      </c>
      <c r="E91" s="84"/>
      <c r="F91" s="84"/>
      <c r="G91" s="32" t="s">
        <v>48</v>
      </c>
      <c r="H91" s="13">
        <v>1000</v>
      </c>
      <c r="I91" s="84"/>
      <c r="J91" s="14"/>
      <c r="K91" s="84"/>
      <c r="L91" s="84"/>
      <c r="M91" s="32" t="s">
        <v>48</v>
      </c>
      <c r="N91" s="13">
        <v>1000</v>
      </c>
      <c r="O91" s="14"/>
      <c r="P91" s="14"/>
      <c r="Q91" s="32" t="s">
        <v>48</v>
      </c>
      <c r="R91" s="85">
        <v>7.5</v>
      </c>
      <c r="S91" s="14"/>
      <c r="T91" s="14"/>
      <c r="U91" s="14" t="s">
        <v>150</v>
      </c>
      <c r="V91" s="14"/>
      <c r="W91" s="79" t="s">
        <v>136</v>
      </c>
      <c r="X91" s="78" t="s">
        <v>135</v>
      </c>
      <c r="Y91" s="14" t="s">
        <v>151</v>
      </c>
      <c r="Z91" s="14"/>
      <c r="AA91" s="14" t="s">
        <v>153</v>
      </c>
      <c r="AB91" s="14"/>
      <c r="AC91" s="14" t="s">
        <v>65</v>
      </c>
      <c r="AD91" s="14" t="s">
        <v>23</v>
      </c>
      <c r="AE91" s="14" t="s">
        <v>155</v>
      </c>
      <c r="AF91" s="14" t="s">
        <v>66</v>
      </c>
    </row>
    <row r="92" spans="1:32" ht="31.5" x14ac:dyDescent="0.25">
      <c r="A92" s="14"/>
      <c r="B92" s="14"/>
      <c r="C92" s="43" t="s">
        <v>77</v>
      </c>
      <c r="D92" s="32">
        <v>2</v>
      </c>
      <c r="E92" s="62">
        <v>1</v>
      </c>
      <c r="F92" s="31" t="s">
        <v>19</v>
      </c>
      <c r="G92" s="32" t="s">
        <v>96</v>
      </c>
      <c r="H92" s="13">
        <v>1200</v>
      </c>
      <c r="I92" s="39" t="s">
        <v>73</v>
      </c>
      <c r="J92" s="61">
        <v>1</v>
      </c>
      <c r="K92" s="84"/>
      <c r="L92" s="84"/>
      <c r="M92" s="32" t="s">
        <v>96</v>
      </c>
      <c r="N92" s="13">
        <v>1200</v>
      </c>
      <c r="O92" s="14"/>
      <c r="P92" s="14"/>
      <c r="Q92" s="32" t="s">
        <v>74</v>
      </c>
      <c r="R92" s="85">
        <v>9.1999999999999993</v>
      </c>
      <c r="S92" s="14"/>
      <c r="T92" s="14"/>
      <c r="U92" s="14"/>
      <c r="V92" s="14"/>
      <c r="W92" s="79" t="s">
        <v>172</v>
      </c>
      <c r="X92" s="78" t="s">
        <v>44</v>
      </c>
      <c r="Y92" s="14"/>
      <c r="Z92" s="14"/>
      <c r="AA92" s="14"/>
      <c r="AB92" s="14"/>
      <c r="AC92" s="14" t="s">
        <v>154</v>
      </c>
      <c r="AD92" s="14" t="s">
        <v>141</v>
      </c>
      <c r="AE92" s="14" t="s">
        <v>169</v>
      </c>
      <c r="AF92" s="14" t="s">
        <v>171</v>
      </c>
    </row>
    <row r="93" spans="1:32" ht="31.5" x14ac:dyDescent="0.25">
      <c r="A93" s="14"/>
      <c r="B93" s="14"/>
      <c r="C93" s="43" t="s">
        <v>81</v>
      </c>
      <c r="D93" s="32">
        <v>3</v>
      </c>
      <c r="E93" s="75">
        <v>2</v>
      </c>
      <c r="F93" s="74" t="s">
        <v>17</v>
      </c>
      <c r="G93" s="32" t="s">
        <v>74</v>
      </c>
      <c r="H93" s="13">
        <v>1500</v>
      </c>
      <c r="I93" s="43" t="s">
        <v>77</v>
      </c>
      <c r="J93" s="32">
        <v>2</v>
      </c>
      <c r="K93" s="84"/>
      <c r="L93" s="84"/>
      <c r="M93" s="32" t="s">
        <v>74</v>
      </c>
      <c r="N93" s="13">
        <v>1500</v>
      </c>
      <c r="O93" s="14"/>
      <c r="P93" s="14"/>
      <c r="Q93" s="32" t="s">
        <v>97</v>
      </c>
      <c r="R93" s="85">
        <v>11</v>
      </c>
      <c r="S93" s="14"/>
      <c r="T93" s="14"/>
      <c r="U93" s="14"/>
      <c r="V93" s="14"/>
      <c r="W93" s="79" t="s">
        <v>137</v>
      </c>
      <c r="X93" s="78" t="s">
        <v>125</v>
      </c>
      <c r="Y93" s="14"/>
      <c r="Z93" s="14"/>
      <c r="AA93" s="14"/>
      <c r="AB93" s="14"/>
      <c r="AC93" s="14" t="s">
        <v>163</v>
      </c>
      <c r="AD93" s="14"/>
      <c r="AE93" s="14" t="s">
        <v>170</v>
      </c>
      <c r="AF93" s="14" t="s">
        <v>62</v>
      </c>
    </row>
    <row r="94" spans="1:32" ht="31.5" x14ac:dyDescent="0.25">
      <c r="A94" s="14"/>
      <c r="B94" s="14"/>
      <c r="C94" s="43" t="s">
        <v>84</v>
      </c>
      <c r="D94" s="32">
        <v>4</v>
      </c>
      <c r="E94" s="83">
        <v>3</v>
      </c>
      <c r="F94" s="74" t="s">
        <v>32</v>
      </c>
      <c r="G94" s="32" t="s">
        <v>97</v>
      </c>
      <c r="H94" s="13">
        <v>1600</v>
      </c>
      <c r="I94" s="43" t="s">
        <v>81</v>
      </c>
      <c r="J94" s="32">
        <v>3</v>
      </c>
      <c r="K94" s="84"/>
      <c r="L94" s="84"/>
      <c r="M94" s="32" t="s">
        <v>97</v>
      </c>
      <c r="N94" s="13">
        <v>1600</v>
      </c>
      <c r="O94" s="14"/>
      <c r="P94" s="14"/>
      <c r="Q94" s="74" t="s">
        <v>98</v>
      </c>
      <c r="R94" s="85">
        <v>15</v>
      </c>
      <c r="S94" s="14"/>
      <c r="T94" s="14"/>
      <c r="U94" s="14"/>
      <c r="V94" s="14"/>
      <c r="W94" s="82" t="s">
        <v>167</v>
      </c>
      <c r="X94" s="78" t="s">
        <v>168</v>
      </c>
      <c r="Y94" s="14"/>
      <c r="Z94" s="14"/>
      <c r="AA94" s="14"/>
      <c r="AB94" s="14"/>
      <c r="AC94" s="14"/>
      <c r="AD94" s="14"/>
      <c r="AE94" s="14" t="s">
        <v>178</v>
      </c>
      <c r="AF94" s="14" t="s">
        <v>74</v>
      </c>
    </row>
    <row r="95" spans="1:32" ht="15.75" x14ac:dyDescent="0.25">
      <c r="A95" s="14"/>
      <c r="B95" s="14"/>
      <c r="C95" s="43" t="s">
        <v>85</v>
      </c>
      <c r="D95" s="32">
        <v>5</v>
      </c>
      <c r="E95" s="83">
        <v>4</v>
      </c>
      <c r="F95" s="74" t="s">
        <v>25</v>
      </c>
      <c r="G95" s="32" t="s">
        <v>98</v>
      </c>
      <c r="H95" s="13">
        <v>1800</v>
      </c>
      <c r="I95" s="43" t="s">
        <v>84</v>
      </c>
      <c r="J95" s="32">
        <v>4</v>
      </c>
      <c r="K95" s="84"/>
      <c r="L95" s="84"/>
      <c r="M95" s="32" t="s">
        <v>98</v>
      </c>
      <c r="N95" s="13">
        <v>1800</v>
      </c>
      <c r="O95" s="14"/>
      <c r="P95" s="14"/>
      <c r="Q95" s="74" t="s">
        <v>62</v>
      </c>
      <c r="R95" s="85">
        <v>18.5</v>
      </c>
      <c r="S95" s="14"/>
      <c r="T95" s="14"/>
      <c r="U95" s="14"/>
      <c r="V95" s="14"/>
      <c r="W95" s="14" t="s">
        <v>152</v>
      </c>
      <c r="X95" s="78"/>
      <c r="Y95" s="14"/>
      <c r="Z95" s="14"/>
      <c r="AA95" s="14"/>
      <c r="AB95" s="14"/>
      <c r="AC95" s="14"/>
      <c r="AD95" s="14"/>
      <c r="AE95" t="s">
        <v>164</v>
      </c>
    </row>
    <row r="96" spans="1:32" ht="15.75" x14ac:dyDescent="0.25">
      <c r="A96" s="14"/>
      <c r="B96" s="14"/>
      <c r="C96" s="86" t="s">
        <v>139</v>
      </c>
      <c r="D96" s="32">
        <v>6</v>
      </c>
      <c r="E96" s="84" t="s">
        <v>157</v>
      </c>
      <c r="F96" s="84"/>
      <c r="G96" s="32" t="s">
        <v>62</v>
      </c>
      <c r="H96" s="13">
        <v>2000</v>
      </c>
      <c r="I96" s="43" t="s">
        <v>85</v>
      </c>
      <c r="J96" s="32">
        <v>5</v>
      </c>
      <c r="K96" s="84"/>
      <c r="L96" s="84"/>
      <c r="M96" s="32" t="s">
        <v>62</v>
      </c>
      <c r="N96" s="13">
        <v>2000</v>
      </c>
      <c r="O96" s="14"/>
      <c r="P96" s="14"/>
      <c r="Q96" s="74" t="s">
        <v>66</v>
      </c>
      <c r="R96" s="85">
        <v>22</v>
      </c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ht="15.75" x14ac:dyDescent="0.25">
      <c r="A97" s="14"/>
      <c r="B97" s="14"/>
      <c r="C97" s="43" t="s">
        <v>88</v>
      </c>
      <c r="D97" s="32">
        <v>7</v>
      </c>
      <c r="E97" s="84"/>
      <c r="F97" s="84"/>
      <c r="G97" s="32" t="s">
        <v>66</v>
      </c>
      <c r="H97" s="13">
        <v>2500</v>
      </c>
      <c r="I97" s="86" t="s">
        <v>140</v>
      </c>
      <c r="J97" s="32">
        <v>6</v>
      </c>
      <c r="K97" s="84"/>
      <c r="L97" s="84"/>
      <c r="M97" s="32" t="s">
        <v>66</v>
      </c>
      <c r="N97" s="13">
        <v>2500</v>
      </c>
      <c r="O97" s="14"/>
      <c r="P97" s="14"/>
      <c r="Q97" s="74" t="s">
        <v>23</v>
      </c>
      <c r="R97" s="85">
        <v>30</v>
      </c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spans="1:30" ht="15.75" x14ac:dyDescent="0.25">
      <c r="A98" s="14"/>
      <c r="B98" s="14"/>
      <c r="C98" s="43" t="s">
        <v>90</v>
      </c>
      <c r="D98" s="32">
        <v>8</v>
      </c>
      <c r="E98" s="84"/>
      <c r="F98" s="84"/>
      <c r="G98" s="32" t="s">
        <v>23</v>
      </c>
      <c r="H98" s="13">
        <v>60</v>
      </c>
      <c r="I98" s="43" t="s">
        <v>88</v>
      </c>
      <c r="J98" s="32">
        <v>7</v>
      </c>
      <c r="K98" s="84"/>
      <c r="L98" s="84"/>
      <c r="M98" s="84"/>
      <c r="N98" s="14"/>
      <c r="O98" s="14"/>
      <c r="P98" s="14"/>
      <c r="Q98" s="74" t="s">
        <v>30</v>
      </c>
      <c r="R98" s="85">
        <v>37</v>
      </c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spans="1:30" ht="15.75" x14ac:dyDescent="0.25">
      <c r="A99" s="14"/>
      <c r="B99" s="14"/>
      <c r="C99" s="43" t="s">
        <v>91</v>
      </c>
      <c r="D99" s="32">
        <v>9</v>
      </c>
      <c r="E99" s="84"/>
      <c r="F99" s="84"/>
      <c r="G99" s="32" t="s">
        <v>30</v>
      </c>
      <c r="H99" s="13">
        <v>90</v>
      </c>
      <c r="I99" s="43" t="s">
        <v>90</v>
      </c>
      <c r="J99" s="32">
        <v>8</v>
      </c>
      <c r="K99" s="84"/>
      <c r="L99" s="84"/>
      <c r="M99" s="84"/>
      <c r="N99" s="14"/>
      <c r="O99" s="14"/>
      <c r="P99" s="14"/>
      <c r="Q99" s="74" t="s">
        <v>141</v>
      </c>
      <c r="R99" s="85">
        <v>0.08</v>
      </c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1:30" ht="15.75" x14ac:dyDescent="0.25">
      <c r="A100" s="14"/>
      <c r="B100" s="14"/>
      <c r="C100" s="43" t="s">
        <v>143</v>
      </c>
      <c r="D100" s="32">
        <v>0</v>
      </c>
      <c r="E100" s="84"/>
      <c r="F100" s="84"/>
      <c r="G100" s="32" t="s">
        <v>141</v>
      </c>
      <c r="H100" s="13">
        <v>120</v>
      </c>
      <c r="I100" s="43" t="s">
        <v>91</v>
      </c>
      <c r="J100" s="32">
        <v>9</v>
      </c>
      <c r="K100" s="84"/>
      <c r="L100" s="84"/>
      <c r="M100" s="84"/>
      <c r="N100" s="14"/>
      <c r="O100" s="14"/>
      <c r="P100" s="14"/>
      <c r="Q100" s="74" t="s">
        <v>144</v>
      </c>
      <c r="R100" s="85">
        <v>0.185</v>
      </c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ht="15.75" x14ac:dyDescent="0.25">
      <c r="C101" s="90" t="s">
        <v>157</v>
      </c>
      <c r="E101" s="84"/>
      <c r="F101" s="84"/>
      <c r="I101" s="43" t="s">
        <v>143</v>
      </c>
      <c r="J101" s="32">
        <v>0</v>
      </c>
      <c r="Q101" s="87" t="s">
        <v>125</v>
      </c>
      <c r="R101" s="88">
        <v>0.18</v>
      </c>
      <c r="W101" s="14"/>
      <c r="X101" s="14"/>
      <c r="AC101" s="14" t="s">
        <v>64</v>
      </c>
      <c r="AD101" s="14" t="s">
        <v>30</v>
      </c>
    </row>
    <row r="102" spans="1:30" ht="15.75" x14ac:dyDescent="0.25">
      <c r="G102" s="63">
        <v>160</v>
      </c>
      <c r="H102" s="61" t="s">
        <v>19</v>
      </c>
      <c r="W102" s="14"/>
      <c r="X102" s="14"/>
      <c r="AC102" s="14" t="s">
        <v>65</v>
      </c>
      <c r="AD102" s="14" t="s">
        <v>23</v>
      </c>
    </row>
    <row r="103" spans="1:30" ht="15.75" x14ac:dyDescent="0.25">
      <c r="G103" s="33">
        <v>200</v>
      </c>
      <c r="H103" s="32" t="s">
        <v>17</v>
      </c>
      <c r="Q103" s="39">
        <v>0.25</v>
      </c>
      <c r="R103" s="61" t="s">
        <v>19</v>
      </c>
      <c r="AC103" s="14" t="s">
        <v>154</v>
      </c>
      <c r="AD103" s="14" t="s">
        <v>141</v>
      </c>
    </row>
    <row r="104" spans="1:30" ht="15.75" x14ac:dyDescent="0.25">
      <c r="G104" s="33">
        <v>300</v>
      </c>
      <c r="H104" s="32" t="s">
        <v>32</v>
      </c>
      <c r="Q104" s="39">
        <v>0.37</v>
      </c>
      <c r="R104" s="61" t="s">
        <v>17</v>
      </c>
      <c r="AC104" s="14" t="s">
        <v>163</v>
      </c>
      <c r="AD104" s="14"/>
    </row>
    <row r="105" spans="1:30" ht="15.75" x14ac:dyDescent="0.25">
      <c r="G105" s="33">
        <v>350</v>
      </c>
      <c r="H105" s="32" t="s">
        <v>25</v>
      </c>
      <c r="Q105" s="39">
        <v>0.55000000000000004</v>
      </c>
      <c r="R105" s="32" t="s">
        <v>32</v>
      </c>
    </row>
    <row r="106" spans="1:30" ht="15.75" x14ac:dyDescent="0.25">
      <c r="G106" s="33">
        <v>400</v>
      </c>
      <c r="H106" s="32" t="s">
        <v>10</v>
      </c>
      <c r="Q106" s="43">
        <v>0.75</v>
      </c>
      <c r="R106" s="32" t="s">
        <v>25</v>
      </c>
    </row>
    <row r="107" spans="1:30" ht="15.75" x14ac:dyDescent="0.25">
      <c r="G107" s="33">
        <v>500</v>
      </c>
      <c r="H107" s="32" t="s">
        <v>38</v>
      </c>
      <c r="Q107" s="85">
        <v>1.1000000000000001</v>
      </c>
      <c r="R107" s="32" t="s">
        <v>10</v>
      </c>
    </row>
    <row r="108" spans="1:30" ht="15.75" x14ac:dyDescent="0.25">
      <c r="G108" s="33">
        <v>550</v>
      </c>
      <c r="H108" s="32" t="s">
        <v>40</v>
      </c>
      <c r="Q108" s="85">
        <v>1.5</v>
      </c>
      <c r="R108" s="32" t="s">
        <v>38</v>
      </c>
    </row>
    <row r="109" spans="1:30" ht="15.75" x14ac:dyDescent="0.25">
      <c r="G109" s="33">
        <v>600</v>
      </c>
      <c r="H109" s="32" t="s">
        <v>42</v>
      </c>
      <c r="Q109" s="85">
        <v>2.2000000000000002</v>
      </c>
      <c r="R109" s="32" t="s">
        <v>40</v>
      </c>
    </row>
    <row r="110" spans="1:30" ht="15.75" x14ac:dyDescent="0.25">
      <c r="G110" s="13">
        <v>700</v>
      </c>
      <c r="H110" s="32" t="s">
        <v>44</v>
      </c>
      <c r="Q110" s="85">
        <v>3</v>
      </c>
      <c r="R110" s="32" t="s">
        <v>42</v>
      </c>
    </row>
    <row r="111" spans="1:30" ht="15.75" x14ac:dyDescent="0.25">
      <c r="G111" s="13">
        <v>800</v>
      </c>
      <c r="H111" s="32" t="s">
        <v>46</v>
      </c>
      <c r="Q111" s="85">
        <v>4</v>
      </c>
      <c r="R111" s="32" t="s">
        <v>44</v>
      </c>
    </row>
    <row r="112" spans="1:30" ht="15.75" x14ac:dyDescent="0.25">
      <c r="G112" s="13">
        <v>900</v>
      </c>
      <c r="H112" s="32" t="s">
        <v>168</v>
      </c>
      <c r="Q112" s="85">
        <v>5.5</v>
      </c>
      <c r="R112" s="32" t="s">
        <v>46</v>
      </c>
    </row>
    <row r="113" spans="7:18" ht="15.75" x14ac:dyDescent="0.25">
      <c r="G113" s="13">
        <v>1000</v>
      </c>
      <c r="H113" s="32" t="s">
        <v>48</v>
      </c>
      <c r="Q113" s="85">
        <v>7.5</v>
      </c>
      <c r="R113" s="32" t="s">
        <v>48</v>
      </c>
    </row>
    <row r="114" spans="7:18" ht="15.75" x14ac:dyDescent="0.25">
      <c r="G114" s="13">
        <v>1200</v>
      </c>
      <c r="H114" s="32" t="s">
        <v>96</v>
      </c>
      <c r="Q114" s="85">
        <v>9.1999999999999993</v>
      </c>
      <c r="R114" s="32" t="s">
        <v>74</v>
      </c>
    </row>
    <row r="115" spans="7:18" ht="15.75" x14ac:dyDescent="0.25">
      <c r="G115" s="13">
        <v>1500</v>
      </c>
      <c r="H115" s="32" t="s">
        <v>74</v>
      </c>
      <c r="Q115" s="85">
        <v>11</v>
      </c>
      <c r="R115" s="32" t="s">
        <v>97</v>
      </c>
    </row>
    <row r="116" spans="7:18" ht="15.75" x14ac:dyDescent="0.25">
      <c r="G116" s="13">
        <v>1600</v>
      </c>
      <c r="H116" s="32" t="s">
        <v>97</v>
      </c>
      <c r="Q116" s="85">
        <v>15</v>
      </c>
      <c r="R116" s="74" t="s">
        <v>98</v>
      </c>
    </row>
    <row r="117" spans="7:18" ht="15.75" x14ac:dyDescent="0.25">
      <c r="G117" s="13">
        <v>1800</v>
      </c>
      <c r="H117" s="32" t="s">
        <v>98</v>
      </c>
      <c r="Q117" s="85">
        <v>18.5</v>
      </c>
      <c r="R117" s="74" t="s">
        <v>62</v>
      </c>
    </row>
    <row r="118" spans="7:18" ht="15.75" x14ac:dyDescent="0.25">
      <c r="G118" s="13">
        <v>2000</v>
      </c>
      <c r="H118" s="32" t="s">
        <v>62</v>
      </c>
      <c r="Q118" s="85">
        <v>22</v>
      </c>
      <c r="R118" s="74" t="s">
        <v>66</v>
      </c>
    </row>
    <row r="119" spans="7:18" ht="15.75" x14ac:dyDescent="0.25">
      <c r="G119" s="13">
        <v>2500</v>
      </c>
      <c r="H119" s="32" t="s">
        <v>66</v>
      </c>
      <c r="Q119" s="85"/>
      <c r="R119" s="74"/>
    </row>
    <row r="120" spans="7:18" ht="15.75" x14ac:dyDescent="0.25">
      <c r="G120" s="13">
        <v>3600</v>
      </c>
      <c r="H120" s="32" t="s">
        <v>135</v>
      </c>
      <c r="Q120" s="85">
        <v>30</v>
      </c>
      <c r="R120" s="74" t="s">
        <v>23</v>
      </c>
    </row>
    <row r="121" spans="7:18" ht="15.75" x14ac:dyDescent="0.25">
      <c r="G121" s="13">
        <v>60</v>
      </c>
      <c r="H121" s="32" t="s">
        <v>23</v>
      </c>
      <c r="Q121" s="85">
        <v>37</v>
      </c>
      <c r="R121" s="74" t="s">
        <v>30</v>
      </c>
    </row>
    <row r="122" spans="7:18" ht="15.75" x14ac:dyDescent="0.25">
      <c r="G122" s="13">
        <v>90</v>
      </c>
      <c r="H122" s="32" t="s">
        <v>30</v>
      </c>
      <c r="Q122" s="85">
        <v>0.08</v>
      </c>
      <c r="R122" s="74" t="s">
        <v>141</v>
      </c>
    </row>
    <row r="123" spans="7:18" ht="15.75" x14ac:dyDescent="0.25">
      <c r="G123" s="13">
        <v>120</v>
      </c>
      <c r="H123" s="32" t="s">
        <v>141</v>
      </c>
      <c r="Q123" s="85">
        <v>0.185</v>
      </c>
      <c r="R123" s="74" t="s">
        <v>144</v>
      </c>
    </row>
    <row r="124" spans="7:18" ht="15.75" x14ac:dyDescent="0.25">
      <c r="G124" s="13">
        <v>130</v>
      </c>
      <c r="H124" s="32" t="s">
        <v>144</v>
      </c>
      <c r="Q124" s="88">
        <v>0.18</v>
      </c>
      <c r="R124" s="87" t="s">
        <v>125</v>
      </c>
    </row>
    <row r="125" spans="7:18" ht="15.75" x14ac:dyDescent="0.25">
      <c r="G125" s="13">
        <v>1400</v>
      </c>
      <c r="H125" s="32" t="s">
        <v>125</v>
      </c>
    </row>
    <row r="126" spans="7:18" ht="15.75" x14ac:dyDescent="0.25">
      <c r="G126" s="13">
        <v>750</v>
      </c>
      <c r="H126" s="13" t="s">
        <v>165</v>
      </c>
    </row>
    <row r="127" spans="7:18" ht="15.75" x14ac:dyDescent="0.25">
      <c r="G127" s="4">
        <v>3000</v>
      </c>
      <c r="H127" s="92" t="s">
        <v>171</v>
      </c>
    </row>
    <row r="128" spans="7:18" ht="15.75" x14ac:dyDescent="0.25">
      <c r="G128" t="s">
        <v>157</v>
      </c>
      <c r="H128" s="89" t="s">
        <v>0</v>
      </c>
    </row>
  </sheetData>
  <mergeCells count="42">
    <mergeCell ref="AC83:AC84"/>
    <mergeCell ref="AD83:AD84"/>
    <mergeCell ref="AC85:AC86"/>
    <mergeCell ref="AD85:AD86"/>
    <mergeCell ref="AC87:AC88"/>
    <mergeCell ref="AD87:AD88"/>
    <mergeCell ref="U79:V80"/>
    <mergeCell ref="W79:X80"/>
    <mergeCell ref="Y79:Z80"/>
    <mergeCell ref="AA79:AB80"/>
    <mergeCell ref="AC79:AD80"/>
    <mergeCell ref="K79:L80"/>
    <mergeCell ref="M79:N80"/>
    <mergeCell ref="O79:P80"/>
    <mergeCell ref="Q79:R80"/>
    <mergeCell ref="S79:T80"/>
    <mergeCell ref="A79:B80"/>
    <mergeCell ref="E80:F81"/>
    <mergeCell ref="G79:H80"/>
    <mergeCell ref="I79:J80"/>
    <mergeCell ref="B67:B69"/>
    <mergeCell ref="G67:H69"/>
    <mergeCell ref="K36:M36"/>
    <mergeCell ref="K38:M38"/>
    <mergeCell ref="A39:B39"/>
    <mergeCell ref="D39:F39"/>
    <mergeCell ref="G39:H39"/>
    <mergeCell ref="I39:J39"/>
    <mergeCell ref="K39:M39"/>
    <mergeCell ref="I1:J1"/>
    <mergeCell ref="K1:L1"/>
    <mergeCell ref="B20:B22"/>
    <mergeCell ref="G20:H22"/>
    <mergeCell ref="A1:B1"/>
    <mergeCell ref="C1:D1"/>
    <mergeCell ref="E1:F1"/>
    <mergeCell ref="G1:H1"/>
    <mergeCell ref="G2:H2"/>
    <mergeCell ref="G3:H3"/>
    <mergeCell ref="G15:H15"/>
    <mergeCell ref="F18:H18"/>
    <mergeCell ref="F19:H1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CODIFICADOR</vt:lpstr>
      <vt:lpstr>HERR CODS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INGENIERO JUNIOR</dc:creator>
  <dc:description/>
  <cp:lastModifiedBy>Oscar Goyes</cp:lastModifiedBy>
  <cp:revision>21</cp:revision>
  <cp:lastPrinted>2021-10-28T20:54:50Z</cp:lastPrinted>
  <dcterms:created xsi:type="dcterms:W3CDTF">2016-04-19T15:47:51Z</dcterms:created>
  <dcterms:modified xsi:type="dcterms:W3CDTF">2026-08-27T19:37:16Z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